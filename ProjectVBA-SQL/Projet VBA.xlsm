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ia\Downloads\"/>
    </mc:Choice>
  </mc:AlternateContent>
  <xr:revisionPtr revIDLastSave="0" documentId="13_ncr:1_{B1D1529B-7255-4EFD-9071-164BF5BE2CBC}" xr6:coauthVersionLast="41" xr6:coauthVersionMax="41" xr10:uidLastSave="{00000000-0000-0000-0000-000000000000}"/>
  <bookViews>
    <workbookView xWindow="-120" yWindow="-120" windowWidth="20730" windowHeight="11160" tabRatio="871" activeTab="7" xr2:uid="{00000000-000D-0000-FFFF-FFFF00000000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91029"/>
  <pivotCaches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0" i="18" l="1"/>
  <c r="F100" i="18"/>
  <c r="E101" i="18"/>
  <c r="E198" i="18" s="1"/>
  <c r="F101" i="18"/>
  <c r="E102" i="18"/>
  <c r="F102" i="18"/>
  <c r="E103" i="18"/>
  <c r="E200" i="18" s="1"/>
  <c r="F103" i="18"/>
  <c r="E104" i="18"/>
  <c r="F104" i="18"/>
  <c r="E105" i="18"/>
  <c r="F105" i="18"/>
  <c r="E106" i="18"/>
  <c r="F106" i="18"/>
  <c r="E107" i="18"/>
  <c r="F107" i="18"/>
  <c r="E108" i="18"/>
  <c r="F108" i="18"/>
  <c r="E109" i="18"/>
  <c r="F109" i="18"/>
  <c r="E110" i="18"/>
  <c r="F110" i="18"/>
  <c r="E111" i="18"/>
  <c r="F111" i="18"/>
  <c r="E112" i="18"/>
  <c r="F112" i="18"/>
  <c r="E113" i="18"/>
  <c r="F113" i="18"/>
  <c r="E114" i="18"/>
  <c r="F114" i="18"/>
  <c r="E115" i="18"/>
  <c r="F115" i="18"/>
  <c r="E116" i="18"/>
  <c r="F116" i="18"/>
  <c r="E117" i="18"/>
  <c r="F117" i="18"/>
  <c r="E118" i="18"/>
  <c r="F118" i="18"/>
  <c r="E119" i="18"/>
  <c r="F119" i="18"/>
  <c r="E120" i="18"/>
  <c r="F120" i="18"/>
  <c r="E121" i="18"/>
  <c r="F121" i="18"/>
  <c r="E122" i="18"/>
  <c r="F122" i="18"/>
  <c r="E123" i="18"/>
  <c r="F123" i="18"/>
  <c r="E124" i="18"/>
  <c r="F124" i="18"/>
  <c r="E125" i="18"/>
  <c r="F125" i="18"/>
  <c r="E126" i="18"/>
  <c r="F126" i="18"/>
  <c r="E127" i="18"/>
  <c r="F127" i="18"/>
  <c r="E128" i="18"/>
  <c r="F128" i="18"/>
  <c r="E129" i="18"/>
  <c r="F129" i="18"/>
  <c r="E130" i="18"/>
  <c r="F130" i="18"/>
  <c r="E131" i="18"/>
  <c r="F131" i="18"/>
  <c r="E132" i="18"/>
  <c r="F132" i="18"/>
  <c r="E133" i="18"/>
  <c r="F133" i="18"/>
  <c r="E134" i="18"/>
  <c r="F134" i="18"/>
  <c r="E135" i="18"/>
  <c r="F135" i="18"/>
  <c r="E136" i="18"/>
  <c r="F136" i="18"/>
  <c r="E137" i="18"/>
  <c r="F137" i="18"/>
  <c r="E138" i="18"/>
  <c r="F138" i="18"/>
  <c r="E139" i="18"/>
  <c r="F139" i="18"/>
  <c r="E140" i="18"/>
  <c r="F140" i="18"/>
  <c r="E141" i="18"/>
  <c r="F141" i="18"/>
  <c r="E142" i="18"/>
  <c r="F142" i="18"/>
  <c r="E143" i="18"/>
  <c r="F143" i="18"/>
  <c r="E144" i="18"/>
  <c r="F144" i="18"/>
  <c r="E145" i="18"/>
  <c r="F145" i="18"/>
  <c r="E146" i="18"/>
  <c r="F146" i="18"/>
  <c r="E147" i="18"/>
  <c r="F147" i="18"/>
  <c r="E148" i="18"/>
  <c r="F148" i="18"/>
  <c r="E149" i="18"/>
  <c r="F149" i="18"/>
  <c r="E150" i="18"/>
  <c r="F150" i="18"/>
  <c r="E151" i="18"/>
  <c r="F151" i="18"/>
  <c r="E152" i="18"/>
  <c r="F152" i="18"/>
  <c r="E153" i="18"/>
  <c r="F153" i="18"/>
  <c r="E154" i="18"/>
  <c r="F154" i="18"/>
  <c r="E155" i="18"/>
  <c r="F155" i="18"/>
  <c r="E156" i="18"/>
  <c r="F156" i="18"/>
  <c r="E157" i="18"/>
  <c r="F157" i="18"/>
  <c r="E158" i="18"/>
  <c r="F158" i="18"/>
  <c r="E159" i="18"/>
  <c r="F159" i="18"/>
  <c r="E160" i="18"/>
  <c r="F160" i="18"/>
  <c r="E161" i="18"/>
  <c r="F161" i="18"/>
  <c r="E162" i="18"/>
  <c r="F162" i="18"/>
  <c r="E163" i="18"/>
  <c r="F163" i="18"/>
  <c r="E164" i="18"/>
  <c r="F164" i="18"/>
  <c r="E165" i="18"/>
  <c r="F165" i="18"/>
  <c r="E166" i="18"/>
  <c r="F166" i="18"/>
  <c r="E167" i="18"/>
  <c r="F167" i="18"/>
  <c r="E168" i="18"/>
  <c r="F168" i="18"/>
  <c r="E169" i="18"/>
  <c r="F169" i="18"/>
  <c r="E170" i="18"/>
  <c r="F170" i="18"/>
  <c r="E171" i="18"/>
  <c r="F171" i="18"/>
  <c r="E172" i="18"/>
  <c r="F172" i="18"/>
  <c r="E173" i="18"/>
  <c r="F173" i="18"/>
  <c r="E174" i="18"/>
  <c r="F174" i="18"/>
  <c r="E175" i="18"/>
  <c r="F175" i="18"/>
  <c r="E176" i="18"/>
  <c r="F176" i="18"/>
  <c r="E177" i="18"/>
  <c r="F177" i="18"/>
  <c r="E178" i="18"/>
  <c r="F178" i="18"/>
  <c r="E179" i="18"/>
  <c r="F179" i="18"/>
  <c r="E180" i="18"/>
  <c r="F180" i="18"/>
  <c r="E181" i="18"/>
  <c r="F181" i="18"/>
  <c r="E182" i="18"/>
  <c r="F182" i="18"/>
  <c r="E183" i="18"/>
  <c r="F183" i="18"/>
  <c r="E184" i="18"/>
  <c r="F184" i="18"/>
  <c r="E185" i="18"/>
  <c r="F185" i="18"/>
  <c r="E186" i="18"/>
  <c r="F186" i="18"/>
  <c r="E187" i="18"/>
  <c r="F187" i="18"/>
  <c r="E188" i="18"/>
  <c r="F188" i="18"/>
  <c r="E189" i="18"/>
  <c r="F189" i="18"/>
  <c r="E190" i="18"/>
  <c r="F190" i="18"/>
  <c r="E191" i="18"/>
  <c r="F191" i="18"/>
  <c r="E192" i="18"/>
  <c r="F192" i="18"/>
  <c r="E193" i="18"/>
  <c r="F193" i="18"/>
  <c r="E194" i="18"/>
  <c r="F194" i="18"/>
  <c r="E195" i="18"/>
  <c r="F195" i="18"/>
  <c r="E196" i="18"/>
  <c r="F196" i="18"/>
  <c r="E197" i="18"/>
  <c r="F197" i="18"/>
  <c r="F198" i="18"/>
  <c r="E199" i="18"/>
  <c r="F199" i="18"/>
  <c r="F200" i="18"/>
  <c r="E201" i="18"/>
  <c r="F201" i="18"/>
  <c r="F99" i="18"/>
  <c r="E99" i="18"/>
  <c r="E3" i="18"/>
  <c r="E4" i="18"/>
  <c r="F4" i="18"/>
  <c r="E5" i="18"/>
  <c r="E6" i="18" s="1"/>
  <c r="F6" i="18" s="1"/>
  <c r="F5" i="18"/>
  <c r="F3" i="18"/>
  <c r="F2" i="18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" i="6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F4" i="2"/>
  <c r="F5" i="2" s="1"/>
  <c r="F6" i="2" s="1"/>
  <c r="K6" i="11" s="1"/>
  <c r="L6" i="11" s="1"/>
  <c r="F7" i="2"/>
  <c r="F8" i="2" s="1"/>
  <c r="F9" i="2" s="1"/>
  <c r="K9" i="11" s="1"/>
  <c r="H2" i="2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" i="6"/>
  <c r="O3" i="6"/>
  <c r="O4" i="6" s="1"/>
  <c r="O5" i="6" s="1"/>
  <c r="O6" i="6" s="1"/>
  <c r="O7" i="6" s="1"/>
  <c r="O8" i="6" s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O26" i="6" s="1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O40" i="6" s="1"/>
  <c r="O41" i="6" s="1"/>
  <c r="O42" i="6" s="1"/>
  <c r="O43" i="6" s="1"/>
  <c r="O44" i="6" s="1"/>
  <c r="O45" i="6" s="1"/>
  <c r="O46" i="6" s="1"/>
  <c r="O47" i="6" s="1"/>
  <c r="O48" i="6" s="1"/>
  <c r="O49" i="6" s="1"/>
  <c r="O50" i="6" s="1"/>
  <c r="O51" i="6" s="1"/>
  <c r="O52" i="6" s="1"/>
  <c r="O53" i="6" s="1"/>
  <c r="O54" i="6" s="1"/>
  <c r="O55" i="6" s="1"/>
  <c r="O56" i="6" s="1"/>
  <c r="O57" i="6" s="1"/>
  <c r="O58" i="6" s="1"/>
  <c r="O59" i="6" s="1"/>
  <c r="O60" i="6" s="1"/>
  <c r="O61" i="6" s="1"/>
  <c r="O62" i="6" s="1"/>
  <c r="O63" i="6" s="1"/>
  <c r="O64" i="6" s="1"/>
  <c r="O65" i="6" s="1"/>
  <c r="O66" i="6" s="1"/>
  <c r="O67" i="6" s="1"/>
  <c r="O68" i="6" s="1"/>
  <c r="O69" i="6" s="1"/>
  <c r="O70" i="6" s="1"/>
  <c r="O71" i="6" s="1"/>
  <c r="O72" i="6" s="1"/>
  <c r="O73" i="6" s="1"/>
  <c r="O74" i="6" s="1"/>
  <c r="O75" i="6" s="1"/>
  <c r="O76" i="6" s="1"/>
  <c r="O77" i="6" s="1"/>
  <c r="O78" i="6" s="1"/>
  <c r="O79" i="6" s="1"/>
  <c r="O80" i="6" s="1"/>
  <c r="O81" i="6" s="1"/>
  <c r="O82" i="6" s="1"/>
  <c r="O83" i="6" s="1"/>
  <c r="O84" i="6" s="1"/>
  <c r="O85" i="6" s="1"/>
  <c r="O86" i="6" s="1"/>
  <c r="O87" i="6" s="1"/>
  <c r="O88" i="6" s="1"/>
  <c r="O89" i="6" s="1"/>
  <c r="O90" i="6" s="1"/>
  <c r="O91" i="6" s="1"/>
  <c r="O92" i="6" s="1"/>
  <c r="O93" i="6" s="1"/>
  <c r="O94" i="6" s="1"/>
  <c r="O95" i="6" s="1"/>
  <c r="O96" i="6" s="1"/>
  <c r="O97" i="6" s="1"/>
  <c r="O98" i="6" s="1"/>
  <c r="O99" i="6" s="1"/>
  <c r="O100" i="6" s="1"/>
  <c r="O101" i="6" s="1"/>
  <c r="O102" i="6" s="1"/>
  <c r="O103" i="6" s="1"/>
  <c r="O104" i="6" s="1"/>
  <c r="O105" i="6" s="1"/>
  <c r="O106" i="6" s="1"/>
  <c r="O107" i="6" s="1"/>
  <c r="O108" i="6" s="1"/>
  <c r="O109" i="6" s="1"/>
  <c r="O110" i="6" s="1"/>
  <c r="O111" i="6" s="1"/>
  <c r="O112" i="6" s="1"/>
  <c r="O113" i="6" s="1"/>
  <c r="O114" i="6" s="1"/>
  <c r="O115" i="6" s="1"/>
  <c r="O116" i="6" s="1"/>
  <c r="O117" i="6" s="1"/>
  <c r="O118" i="6" s="1"/>
  <c r="O119" i="6" s="1"/>
  <c r="O120" i="6" s="1"/>
  <c r="O121" i="6" s="1"/>
  <c r="O122" i="6" s="1"/>
  <c r="O123" i="6" s="1"/>
  <c r="O124" i="6" s="1"/>
  <c r="O125" i="6" s="1"/>
  <c r="O126" i="6" s="1"/>
  <c r="O127" i="6" s="1"/>
  <c r="O128" i="6" s="1"/>
  <c r="O129" i="6" s="1"/>
  <c r="O130" i="6" s="1"/>
  <c r="O131" i="6" s="1"/>
  <c r="O132" i="6" s="1"/>
  <c r="O133" i="6" s="1"/>
  <c r="O134" i="6" s="1"/>
  <c r="O135" i="6" s="1"/>
  <c r="O136" i="6" s="1"/>
  <c r="O137" i="6" s="1"/>
  <c r="O138" i="6" s="1"/>
  <c r="O139" i="6" s="1"/>
  <c r="O140" i="6" s="1"/>
  <c r="O141" i="6" s="1"/>
  <c r="O142" i="6" s="1"/>
  <c r="O143" i="6" s="1"/>
  <c r="O144" i="6" s="1"/>
  <c r="O145" i="6" s="1"/>
  <c r="O146" i="6" s="1"/>
  <c r="O147" i="6" s="1"/>
  <c r="O148" i="6" s="1"/>
  <c r="O149" i="6" s="1"/>
  <c r="O150" i="6" s="1"/>
  <c r="O151" i="6" s="1"/>
  <c r="O152" i="6" s="1"/>
  <c r="O153" i="6" s="1"/>
  <c r="O154" i="6" s="1"/>
  <c r="O155" i="6" s="1"/>
  <c r="O156" i="6" s="1"/>
  <c r="O157" i="6" s="1"/>
  <c r="O158" i="6" s="1"/>
  <c r="O159" i="6" s="1"/>
  <c r="O160" i="6" s="1"/>
  <c r="O161" i="6" s="1"/>
  <c r="O162" i="6" s="1"/>
  <c r="O163" i="6" s="1"/>
  <c r="O164" i="6" s="1"/>
  <c r="O165" i="6" s="1"/>
  <c r="O166" i="6" s="1"/>
  <c r="O167" i="6" s="1"/>
  <c r="O168" i="6" s="1"/>
  <c r="O169" i="6" s="1"/>
  <c r="O170" i="6" s="1"/>
  <c r="O171" i="6" s="1"/>
  <c r="O172" i="6" s="1"/>
  <c r="O173" i="6" s="1"/>
  <c r="O174" i="6" s="1"/>
  <c r="O175" i="6" s="1"/>
  <c r="O176" i="6" s="1"/>
  <c r="O177" i="6" s="1"/>
  <c r="O178" i="6" s="1"/>
  <c r="O179" i="6" s="1"/>
  <c r="O180" i="6" s="1"/>
  <c r="O181" i="6" s="1"/>
  <c r="O182" i="6" s="1"/>
  <c r="O183" i="6" s="1"/>
  <c r="O184" i="6" s="1"/>
  <c r="O185" i="6" s="1"/>
  <c r="O186" i="6" s="1"/>
  <c r="O187" i="6" s="1"/>
  <c r="O188" i="6" s="1"/>
  <c r="O189" i="6" s="1"/>
  <c r="O190" i="6" s="1"/>
  <c r="O191" i="6" s="1"/>
  <c r="O192" i="6" s="1"/>
  <c r="O193" i="6" s="1"/>
  <c r="O194" i="6" s="1"/>
  <c r="O195" i="6" s="1"/>
  <c r="O196" i="6" s="1"/>
  <c r="O197" i="6" s="1"/>
  <c r="O198" i="6" s="1"/>
  <c r="O199" i="6" s="1"/>
  <c r="O200" i="6" s="1"/>
  <c r="O201" i="6" s="1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I42" i="6" s="1"/>
  <c r="I43" i="6" s="1"/>
  <c r="I44" i="6" s="1"/>
  <c r="I45" i="6" s="1"/>
  <c r="I46" i="6" s="1"/>
  <c r="I47" i="6" s="1"/>
  <c r="I48" i="6" s="1"/>
  <c r="I49" i="6" s="1"/>
  <c r="I50" i="6" s="1"/>
  <c r="I51" i="6" s="1"/>
  <c r="I52" i="6" s="1"/>
  <c r="I53" i="6" s="1"/>
  <c r="I54" i="6" s="1"/>
  <c r="I55" i="6" s="1"/>
  <c r="I56" i="6" s="1"/>
  <c r="I57" i="6" s="1"/>
  <c r="I58" i="6" s="1"/>
  <c r="I59" i="6" s="1"/>
  <c r="I60" i="6" s="1"/>
  <c r="I61" i="6" s="1"/>
  <c r="I62" i="6" s="1"/>
  <c r="I63" i="6" s="1"/>
  <c r="I64" i="6" s="1"/>
  <c r="I65" i="6" s="1"/>
  <c r="I66" i="6" s="1"/>
  <c r="I67" i="6" s="1"/>
  <c r="I68" i="6" s="1"/>
  <c r="I69" i="6" s="1"/>
  <c r="I70" i="6" s="1"/>
  <c r="I71" i="6" s="1"/>
  <c r="I72" i="6" s="1"/>
  <c r="I73" i="6" s="1"/>
  <c r="I74" i="6" s="1"/>
  <c r="I75" i="6" s="1"/>
  <c r="I76" i="6" s="1"/>
  <c r="I77" i="6" s="1"/>
  <c r="I78" i="6" s="1"/>
  <c r="I79" i="6" s="1"/>
  <c r="I80" i="6" s="1"/>
  <c r="I81" i="6" s="1"/>
  <c r="I82" i="6" s="1"/>
  <c r="I83" i="6" s="1"/>
  <c r="I84" i="6" s="1"/>
  <c r="I85" i="6" s="1"/>
  <c r="I86" i="6" s="1"/>
  <c r="I87" i="6" s="1"/>
  <c r="I88" i="6" s="1"/>
  <c r="I89" i="6" s="1"/>
  <c r="I90" i="6" s="1"/>
  <c r="I91" i="6" s="1"/>
  <c r="I92" i="6" s="1"/>
  <c r="I93" i="6" s="1"/>
  <c r="I94" i="6" s="1"/>
  <c r="I95" i="6" s="1"/>
  <c r="I96" i="6" s="1"/>
  <c r="I97" i="6" s="1"/>
  <c r="I98" i="6" s="1"/>
  <c r="I99" i="6" s="1"/>
  <c r="I100" i="6" s="1"/>
  <c r="I101" i="6" s="1"/>
  <c r="I102" i="6" s="1"/>
  <c r="I103" i="6" s="1"/>
  <c r="I104" i="6" s="1"/>
  <c r="I105" i="6" s="1"/>
  <c r="I106" i="6" s="1"/>
  <c r="I107" i="6" s="1"/>
  <c r="I108" i="6" s="1"/>
  <c r="I109" i="6" s="1"/>
  <c r="I110" i="6" s="1"/>
  <c r="I111" i="6" s="1"/>
  <c r="I112" i="6" s="1"/>
  <c r="I113" i="6" s="1"/>
  <c r="I114" i="6" s="1"/>
  <c r="I115" i="6" s="1"/>
  <c r="I116" i="6" s="1"/>
  <c r="I117" i="6" s="1"/>
  <c r="I118" i="6" s="1"/>
  <c r="I119" i="6" s="1"/>
  <c r="I120" i="6" s="1"/>
  <c r="I121" i="6" s="1"/>
  <c r="I122" i="6" s="1"/>
  <c r="I123" i="6" s="1"/>
  <c r="I124" i="6" s="1"/>
  <c r="I125" i="6" s="1"/>
  <c r="I126" i="6" s="1"/>
  <c r="I127" i="6" s="1"/>
  <c r="I128" i="6" s="1"/>
  <c r="I129" i="6" s="1"/>
  <c r="I130" i="6" s="1"/>
  <c r="I131" i="6" s="1"/>
  <c r="I132" i="6" s="1"/>
  <c r="I133" i="6" s="1"/>
  <c r="I134" i="6" s="1"/>
  <c r="I135" i="6" s="1"/>
  <c r="I136" i="6" s="1"/>
  <c r="I137" i="6" s="1"/>
  <c r="I138" i="6" s="1"/>
  <c r="I139" i="6" s="1"/>
  <c r="I140" i="6" s="1"/>
  <c r="I141" i="6" s="1"/>
  <c r="I142" i="6" s="1"/>
  <c r="I143" i="6" s="1"/>
  <c r="I144" i="6" s="1"/>
  <c r="I145" i="6" s="1"/>
  <c r="I146" i="6" s="1"/>
  <c r="I147" i="6" s="1"/>
  <c r="I148" i="6" s="1"/>
  <c r="I149" i="6" s="1"/>
  <c r="I150" i="6" s="1"/>
  <c r="I151" i="6" s="1"/>
  <c r="I152" i="6" s="1"/>
  <c r="I153" i="6" s="1"/>
  <c r="I154" i="6" s="1"/>
  <c r="I155" i="6" s="1"/>
  <c r="I156" i="6" s="1"/>
  <c r="I157" i="6" s="1"/>
  <c r="I158" i="6" s="1"/>
  <c r="I159" i="6" s="1"/>
  <c r="I160" i="6" s="1"/>
  <c r="I161" i="6" s="1"/>
  <c r="I162" i="6" s="1"/>
  <c r="I163" i="6" s="1"/>
  <c r="I164" i="6" s="1"/>
  <c r="I165" i="6" s="1"/>
  <c r="I166" i="6" s="1"/>
  <c r="I167" i="6" s="1"/>
  <c r="I168" i="6" s="1"/>
  <c r="I169" i="6" s="1"/>
  <c r="I170" i="6" s="1"/>
  <c r="I171" i="6" s="1"/>
  <c r="I172" i="6" s="1"/>
  <c r="I173" i="6" s="1"/>
  <c r="I174" i="6" s="1"/>
  <c r="I175" i="6" s="1"/>
  <c r="I176" i="6" s="1"/>
  <c r="I177" i="6" s="1"/>
  <c r="I178" i="6" s="1"/>
  <c r="I179" i="6" s="1"/>
  <c r="I180" i="6" s="1"/>
  <c r="I181" i="6" s="1"/>
  <c r="I182" i="6" s="1"/>
  <c r="I183" i="6" s="1"/>
  <c r="I184" i="6" s="1"/>
  <c r="I185" i="6" s="1"/>
  <c r="I186" i="6" s="1"/>
  <c r="I187" i="6" s="1"/>
  <c r="I188" i="6" s="1"/>
  <c r="I189" i="6" s="1"/>
  <c r="I190" i="6" s="1"/>
  <c r="I191" i="6" s="1"/>
  <c r="I192" i="6" s="1"/>
  <c r="I193" i="6" s="1"/>
  <c r="I194" i="6" s="1"/>
  <c r="I195" i="6" s="1"/>
  <c r="I196" i="6" s="1"/>
  <c r="I197" i="6" s="1"/>
  <c r="I198" i="6" s="1"/>
  <c r="I199" i="6" s="1"/>
  <c r="I200" i="6" s="1"/>
  <c r="I201" i="6" s="1"/>
  <c r="I4" i="6"/>
  <c r="I5" i="6" s="1"/>
  <c r="I3" i="6"/>
  <c r="H3" i="6"/>
  <c r="H96" i="6" s="1"/>
  <c r="H189" i="6" s="1"/>
  <c r="H2" i="6"/>
  <c r="H95" i="6" s="1"/>
  <c r="H188" i="6" s="1"/>
  <c r="G201" i="6"/>
  <c r="F201" i="6"/>
  <c r="E201" i="6"/>
  <c r="G200" i="6"/>
  <c r="F200" i="6"/>
  <c r="E200" i="6"/>
  <c r="G199" i="6"/>
  <c r="F199" i="6"/>
  <c r="E199" i="6"/>
  <c r="G198" i="6"/>
  <c r="F198" i="6"/>
  <c r="E198" i="6"/>
  <c r="G197" i="6"/>
  <c r="F197" i="6"/>
  <c r="E197" i="6"/>
  <c r="G196" i="6"/>
  <c r="F196" i="6"/>
  <c r="E196" i="6"/>
  <c r="G195" i="6"/>
  <c r="F195" i="6"/>
  <c r="E195" i="6"/>
  <c r="G194" i="6"/>
  <c r="F194" i="6"/>
  <c r="E194" i="6"/>
  <c r="G193" i="6"/>
  <c r="F193" i="6"/>
  <c r="E193" i="6"/>
  <c r="G192" i="6"/>
  <c r="F192" i="6"/>
  <c r="E192" i="6"/>
  <c r="G191" i="6"/>
  <c r="F191" i="6"/>
  <c r="E191" i="6"/>
  <c r="G190" i="6"/>
  <c r="F190" i="6"/>
  <c r="E190" i="6"/>
  <c r="G189" i="6"/>
  <c r="F189" i="6"/>
  <c r="E189" i="6"/>
  <c r="G188" i="6"/>
  <c r="F188" i="6"/>
  <c r="E188" i="6"/>
  <c r="G187" i="6"/>
  <c r="F187" i="6"/>
  <c r="E187" i="6"/>
  <c r="G186" i="6"/>
  <c r="F186" i="6"/>
  <c r="E186" i="6"/>
  <c r="G185" i="6"/>
  <c r="F185" i="6"/>
  <c r="E185" i="6"/>
  <c r="G184" i="6"/>
  <c r="F184" i="6"/>
  <c r="E184" i="6"/>
  <c r="G183" i="6"/>
  <c r="F183" i="6"/>
  <c r="E183" i="6"/>
  <c r="G182" i="6"/>
  <c r="F182" i="6"/>
  <c r="E182" i="6"/>
  <c r="G181" i="6"/>
  <c r="F181" i="6"/>
  <c r="E181" i="6"/>
  <c r="G180" i="6"/>
  <c r="F180" i="6"/>
  <c r="E180" i="6"/>
  <c r="G179" i="6"/>
  <c r="F179" i="6"/>
  <c r="E179" i="6"/>
  <c r="G178" i="6"/>
  <c r="F178" i="6"/>
  <c r="E178" i="6"/>
  <c r="G177" i="6"/>
  <c r="F177" i="6"/>
  <c r="E177" i="6"/>
  <c r="G176" i="6"/>
  <c r="F176" i="6"/>
  <c r="E176" i="6"/>
  <c r="G175" i="6"/>
  <c r="F175" i="6"/>
  <c r="E175" i="6"/>
  <c r="G174" i="6"/>
  <c r="F174" i="6"/>
  <c r="E174" i="6"/>
  <c r="G173" i="6"/>
  <c r="F173" i="6"/>
  <c r="E173" i="6"/>
  <c r="G172" i="6"/>
  <c r="F172" i="6"/>
  <c r="E172" i="6"/>
  <c r="G171" i="6"/>
  <c r="F171" i="6"/>
  <c r="E171" i="6"/>
  <c r="G170" i="6"/>
  <c r="F170" i="6"/>
  <c r="E170" i="6"/>
  <c r="G169" i="6"/>
  <c r="F169" i="6"/>
  <c r="E169" i="6"/>
  <c r="G168" i="6"/>
  <c r="F168" i="6"/>
  <c r="E168" i="6"/>
  <c r="G167" i="6"/>
  <c r="F167" i="6"/>
  <c r="E167" i="6"/>
  <c r="G166" i="6"/>
  <c r="F166" i="6"/>
  <c r="E166" i="6"/>
  <c r="G165" i="6"/>
  <c r="F165" i="6"/>
  <c r="E165" i="6"/>
  <c r="G164" i="6"/>
  <c r="F164" i="6"/>
  <c r="E164" i="6"/>
  <c r="G163" i="6"/>
  <c r="F163" i="6"/>
  <c r="E163" i="6"/>
  <c r="G162" i="6"/>
  <c r="F162" i="6"/>
  <c r="E162" i="6"/>
  <c r="G161" i="6"/>
  <c r="F161" i="6"/>
  <c r="E161" i="6"/>
  <c r="G160" i="6"/>
  <c r="F160" i="6"/>
  <c r="E160" i="6"/>
  <c r="G159" i="6"/>
  <c r="F159" i="6"/>
  <c r="E159" i="6"/>
  <c r="G158" i="6"/>
  <c r="F158" i="6"/>
  <c r="E158" i="6"/>
  <c r="G157" i="6"/>
  <c r="F157" i="6"/>
  <c r="E157" i="6"/>
  <c r="G156" i="6"/>
  <c r="F156" i="6"/>
  <c r="E156" i="6"/>
  <c r="G155" i="6"/>
  <c r="F155" i="6"/>
  <c r="E155" i="6"/>
  <c r="G154" i="6"/>
  <c r="F154" i="6"/>
  <c r="E154" i="6"/>
  <c r="G153" i="6"/>
  <c r="F153" i="6"/>
  <c r="E153" i="6"/>
  <c r="G152" i="6"/>
  <c r="F152" i="6"/>
  <c r="E152" i="6"/>
  <c r="G151" i="6"/>
  <c r="F151" i="6"/>
  <c r="E151" i="6"/>
  <c r="G150" i="6"/>
  <c r="F150" i="6"/>
  <c r="E150" i="6"/>
  <c r="G149" i="6"/>
  <c r="F149" i="6"/>
  <c r="E149" i="6"/>
  <c r="G148" i="6"/>
  <c r="F148" i="6"/>
  <c r="E148" i="6"/>
  <c r="G147" i="6"/>
  <c r="F147" i="6"/>
  <c r="E147" i="6"/>
  <c r="G146" i="6"/>
  <c r="F146" i="6"/>
  <c r="E146" i="6"/>
  <c r="G145" i="6"/>
  <c r="F145" i="6"/>
  <c r="E145" i="6"/>
  <c r="G144" i="6"/>
  <c r="F144" i="6"/>
  <c r="E144" i="6"/>
  <c r="G143" i="6"/>
  <c r="F143" i="6"/>
  <c r="E143" i="6"/>
  <c r="G142" i="6"/>
  <c r="F142" i="6"/>
  <c r="E142" i="6"/>
  <c r="G141" i="6"/>
  <c r="F141" i="6"/>
  <c r="E141" i="6"/>
  <c r="G140" i="6"/>
  <c r="F140" i="6"/>
  <c r="E140" i="6"/>
  <c r="G139" i="6"/>
  <c r="F139" i="6"/>
  <c r="E139" i="6"/>
  <c r="G138" i="6"/>
  <c r="F138" i="6"/>
  <c r="E138" i="6"/>
  <c r="G137" i="6"/>
  <c r="F137" i="6"/>
  <c r="E137" i="6"/>
  <c r="G136" i="6"/>
  <c r="F136" i="6"/>
  <c r="E136" i="6"/>
  <c r="G135" i="6"/>
  <c r="F135" i="6"/>
  <c r="E135" i="6"/>
  <c r="G134" i="6"/>
  <c r="F134" i="6"/>
  <c r="E134" i="6"/>
  <c r="G133" i="6"/>
  <c r="F133" i="6"/>
  <c r="E133" i="6"/>
  <c r="G132" i="6"/>
  <c r="F132" i="6"/>
  <c r="E132" i="6"/>
  <c r="G131" i="6"/>
  <c r="F131" i="6"/>
  <c r="E131" i="6"/>
  <c r="G130" i="6"/>
  <c r="F130" i="6"/>
  <c r="E130" i="6"/>
  <c r="G129" i="6"/>
  <c r="F129" i="6"/>
  <c r="E129" i="6"/>
  <c r="G128" i="6"/>
  <c r="F128" i="6"/>
  <c r="E128" i="6"/>
  <c r="G127" i="6"/>
  <c r="F127" i="6"/>
  <c r="E127" i="6"/>
  <c r="G126" i="6"/>
  <c r="F126" i="6"/>
  <c r="E126" i="6"/>
  <c r="G125" i="6"/>
  <c r="F125" i="6"/>
  <c r="E125" i="6"/>
  <c r="G124" i="6"/>
  <c r="F124" i="6"/>
  <c r="E124" i="6"/>
  <c r="G123" i="6"/>
  <c r="F123" i="6"/>
  <c r="E123" i="6"/>
  <c r="G122" i="6"/>
  <c r="F122" i="6"/>
  <c r="E122" i="6"/>
  <c r="G121" i="6"/>
  <c r="F121" i="6"/>
  <c r="E121" i="6"/>
  <c r="G120" i="6"/>
  <c r="F120" i="6"/>
  <c r="E120" i="6"/>
  <c r="G119" i="6"/>
  <c r="F119" i="6"/>
  <c r="E119" i="6"/>
  <c r="G118" i="6"/>
  <c r="F118" i="6"/>
  <c r="E118" i="6"/>
  <c r="G117" i="6"/>
  <c r="F117" i="6"/>
  <c r="E117" i="6"/>
  <c r="G116" i="6"/>
  <c r="F116" i="6"/>
  <c r="E116" i="6"/>
  <c r="G115" i="6"/>
  <c r="F115" i="6"/>
  <c r="E115" i="6"/>
  <c r="G114" i="6"/>
  <c r="F114" i="6"/>
  <c r="E114" i="6"/>
  <c r="G113" i="6"/>
  <c r="F113" i="6"/>
  <c r="E113" i="6"/>
  <c r="G112" i="6"/>
  <c r="F112" i="6"/>
  <c r="E112" i="6"/>
  <c r="G111" i="6"/>
  <c r="F111" i="6"/>
  <c r="E111" i="6"/>
  <c r="G110" i="6"/>
  <c r="F110" i="6"/>
  <c r="E110" i="6"/>
  <c r="G109" i="6"/>
  <c r="F109" i="6"/>
  <c r="E109" i="6"/>
  <c r="G108" i="6"/>
  <c r="F108" i="6"/>
  <c r="E108" i="6"/>
  <c r="G107" i="6"/>
  <c r="F107" i="6"/>
  <c r="E107" i="6"/>
  <c r="G106" i="6"/>
  <c r="F106" i="6"/>
  <c r="E106" i="6"/>
  <c r="G105" i="6"/>
  <c r="F105" i="6"/>
  <c r="E105" i="6"/>
  <c r="G104" i="6"/>
  <c r="F104" i="6"/>
  <c r="E104" i="6"/>
  <c r="G103" i="6"/>
  <c r="F103" i="6"/>
  <c r="E103" i="6"/>
  <c r="G102" i="6"/>
  <c r="F102" i="6"/>
  <c r="E102" i="6"/>
  <c r="G101" i="6"/>
  <c r="F101" i="6"/>
  <c r="E101" i="6"/>
  <c r="G100" i="6"/>
  <c r="F100" i="6"/>
  <c r="E100" i="6"/>
  <c r="G99" i="6"/>
  <c r="F99" i="6"/>
  <c r="E99" i="6"/>
  <c r="G98" i="6"/>
  <c r="F98" i="6"/>
  <c r="E98" i="6"/>
  <c r="G97" i="6"/>
  <c r="F97" i="6"/>
  <c r="E97" i="6"/>
  <c r="G96" i="6"/>
  <c r="F96" i="6"/>
  <c r="E96" i="6"/>
  <c r="G95" i="6"/>
  <c r="F95" i="6"/>
  <c r="E95" i="6"/>
  <c r="G94" i="6"/>
  <c r="F94" i="6"/>
  <c r="E94" i="6"/>
  <c r="G93" i="6"/>
  <c r="F93" i="6"/>
  <c r="E93" i="6"/>
  <c r="G92" i="6"/>
  <c r="F92" i="6"/>
  <c r="E92" i="6"/>
  <c r="G91" i="6"/>
  <c r="F91" i="6"/>
  <c r="E91" i="6"/>
  <c r="G90" i="6"/>
  <c r="F90" i="6"/>
  <c r="E90" i="6"/>
  <c r="G89" i="6"/>
  <c r="F89" i="6"/>
  <c r="E89" i="6"/>
  <c r="G88" i="6"/>
  <c r="F88" i="6"/>
  <c r="E88" i="6"/>
  <c r="G87" i="6"/>
  <c r="F87" i="6"/>
  <c r="E87" i="6"/>
  <c r="G86" i="6"/>
  <c r="F86" i="6"/>
  <c r="E86" i="6"/>
  <c r="G85" i="6"/>
  <c r="F85" i="6"/>
  <c r="E85" i="6"/>
  <c r="G84" i="6"/>
  <c r="F84" i="6"/>
  <c r="E84" i="6"/>
  <c r="G83" i="6"/>
  <c r="F83" i="6"/>
  <c r="E83" i="6"/>
  <c r="G82" i="6"/>
  <c r="F82" i="6"/>
  <c r="E82" i="6"/>
  <c r="G81" i="6"/>
  <c r="F81" i="6"/>
  <c r="E81" i="6"/>
  <c r="G80" i="6"/>
  <c r="F80" i="6"/>
  <c r="E80" i="6"/>
  <c r="G79" i="6"/>
  <c r="F79" i="6"/>
  <c r="E79" i="6"/>
  <c r="G78" i="6"/>
  <c r="F78" i="6"/>
  <c r="E78" i="6"/>
  <c r="G77" i="6"/>
  <c r="F77" i="6"/>
  <c r="E77" i="6"/>
  <c r="G76" i="6"/>
  <c r="F76" i="6"/>
  <c r="E76" i="6"/>
  <c r="G75" i="6"/>
  <c r="F75" i="6"/>
  <c r="E75" i="6"/>
  <c r="G74" i="6"/>
  <c r="F74" i="6"/>
  <c r="E74" i="6"/>
  <c r="G73" i="6"/>
  <c r="F73" i="6"/>
  <c r="E73" i="6"/>
  <c r="G72" i="6"/>
  <c r="F72" i="6"/>
  <c r="E72" i="6"/>
  <c r="G71" i="6"/>
  <c r="F71" i="6"/>
  <c r="E71" i="6"/>
  <c r="G70" i="6"/>
  <c r="F70" i="6"/>
  <c r="E70" i="6"/>
  <c r="G69" i="6"/>
  <c r="F69" i="6"/>
  <c r="E69" i="6"/>
  <c r="G68" i="6"/>
  <c r="F68" i="6"/>
  <c r="E68" i="6"/>
  <c r="G67" i="6"/>
  <c r="F67" i="6"/>
  <c r="E67" i="6"/>
  <c r="G66" i="6"/>
  <c r="F66" i="6"/>
  <c r="E66" i="6"/>
  <c r="G65" i="6"/>
  <c r="F65" i="6"/>
  <c r="E65" i="6"/>
  <c r="G64" i="6"/>
  <c r="F64" i="6"/>
  <c r="E64" i="6"/>
  <c r="G63" i="6"/>
  <c r="F63" i="6"/>
  <c r="E63" i="6"/>
  <c r="G62" i="6"/>
  <c r="F62" i="6"/>
  <c r="E62" i="6"/>
  <c r="G61" i="6"/>
  <c r="F61" i="6"/>
  <c r="E61" i="6"/>
  <c r="G60" i="6"/>
  <c r="F60" i="6"/>
  <c r="E60" i="6"/>
  <c r="G59" i="6"/>
  <c r="F59" i="6"/>
  <c r="E59" i="6"/>
  <c r="G58" i="6"/>
  <c r="F58" i="6"/>
  <c r="E58" i="6"/>
  <c r="G57" i="6"/>
  <c r="F57" i="6"/>
  <c r="E57" i="6"/>
  <c r="G56" i="6"/>
  <c r="F56" i="6"/>
  <c r="E56" i="6"/>
  <c r="G55" i="6"/>
  <c r="F55" i="6"/>
  <c r="E55" i="6"/>
  <c r="G54" i="6"/>
  <c r="F54" i="6"/>
  <c r="E54" i="6"/>
  <c r="G53" i="6"/>
  <c r="F53" i="6"/>
  <c r="E53" i="6"/>
  <c r="G52" i="6"/>
  <c r="F52" i="6"/>
  <c r="E52" i="6"/>
  <c r="G51" i="6"/>
  <c r="F51" i="6"/>
  <c r="E51" i="6"/>
  <c r="G50" i="6"/>
  <c r="F50" i="6"/>
  <c r="E50" i="6"/>
  <c r="G49" i="6"/>
  <c r="F49" i="6"/>
  <c r="E49" i="6"/>
  <c r="G48" i="6"/>
  <c r="F48" i="6"/>
  <c r="E48" i="6"/>
  <c r="G47" i="6"/>
  <c r="F47" i="6"/>
  <c r="E47" i="6"/>
  <c r="G46" i="6"/>
  <c r="F46" i="6"/>
  <c r="E46" i="6"/>
  <c r="G45" i="6"/>
  <c r="F45" i="6"/>
  <c r="E45" i="6"/>
  <c r="G44" i="6"/>
  <c r="F44" i="6"/>
  <c r="E44" i="6"/>
  <c r="G43" i="6"/>
  <c r="F43" i="6"/>
  <c r="E43" i="6"/>
  <c r="G42" i="6"/>
  <c r="F42" i="6"/>
  <c r="E42" i="6"/>
  <c r="G41" i="6"/>
  <c r="F41" i="6"/>
  <c r="E41" i="6"/>
  <c r="G40" i="6"/>
  <c r="F40" i="6"/>
  <c r="E40" i="6"/>
  <c r="G39" i="6"/>
  <c r="F39" i="6"/>
  <c r="E39" i="6"/>
  <c r="G38" i="6"/>
  <c r="F38" i="6"/>
  <c r="E38" i="6"/>
  <c r="G37" i="6"/>
  <c r="F37" i="6"/>
  <c r="E37" i="6"/>
  <c r="G36" i="6"/>
  <c r="F36" i="6"/>
  <c r="E36" i="6"/>
  <c r="G35" i="6"/>
  <c r="F35" i="6"/>
  <c r="E35" i="6"/>
  <c r="G34" i="6"/>
  <c r="F34" i="6"/>
  <c r="E34" i="6"/>
  <c r="G33" i="6"/>
  <c r="F33" i="6"/>
  <c r="E33" i="6"/>
  <c r="G32" i="6"/>
  <c r="F32" i="6"/>
  <c r="E32" i="6"/>
  <c r="G31" i="6"/>
  <c r="F31" i="6"/>
  <c r="E31" i="6"/>
  <c r="G30" i="6"/>
  <c r="F30" i="6"/>
  <c r="E30" i="6"/>
  <c r="G29" i="6"/>
  <c r="F29" i="6"/>
  <c r="E29" i="6"/>
  <c r="G28" i="6"/>
  <c r="F28" i="6"/>
  <c r="E28" i="6"/>
  <c r="G27" i="6"/>
  <c r="F27" i="6"/>
  <c r="E27" i="6"/>
  <c r="G26" i="6"/>
  <c r="F26" i="6"/>
  <c r="E26" i="6"/>
  <c r="G25" i="6"/>
  <c r="F25" i="6"/>
  <c r="E25" i="6"/>
  <c r="G24" i="6"/>
  <c r="F24" i="6"/>
  <c r="E24" i="6"/>
  <c r="G23" i="6"/>
  <c r="F23" i="6"/>
  <c r="E23" i="6"/>
  <c r="G22" i="6"/>
  <c r="F22" i="6"/>
  <c r="E22" i="6"/>
  <c r="G21" i="6"/>
  <c r="F21" i="6"/>
  <c r="E21" i="6"/>
  <c r="G20" i="6"/>
  <c r="F20" i="6"/>
  <c r="E20" i="6"/>
  <c r="G19" i="6"/>
  <c r="F19" i="6"/>
  <c r="E19" i="6"/>
  <c r="G18" i="6"/>
  <c r="F18" i="6"/>
  <c r="E18" i="6"/>
  <c r="G17" i="6"/>
  <c r="F17" i="6"/>
  <c r="E17" i="6"/>
  <c r="G16" i="6"/>
  <c r="F16" i="6"/>
  <c r="E16" i="6"/>
  <c r="G15" i="6"/>
  <c r="F15" i="6"/>
  <c r="E15" i="6"/>
  <c r="G14" i="6"/>
  <c r="F14" i="6"/>
  <c r="E14" i="6"/>
  <c r="G13" i="6"/>
  <c r="F13" i="6"/>
  <c r="E13" i="6"/>
  <c r="G12" i="6"/>
  <c r="F12" i="6"/>
  <c r="E12" i="6"/>
  <c r="G11" i="6"/>
  <c r="F11" i="6"/>
  <c r="E11" i="6"/>
  <c r="G10" i="6"/>
  <c r="F10" i="6"/>
  <c r="E10" i="6"/>
  <c r="G9" i="6"/>
  <c r="F9" i="6"/>
  <c r="E9" i="6"/>
  <c r="G8" i="6"/>
  <c r="F8" i="6"/>
  <c r="E8" i="6"/>
  <c r="G7" i="6"/>
  <c r="F7" i="6"/>
  <c r="E7" i="6"/>
  <c r="G6" i="6"/>
  <c r="F6" i="6"/>
  <c r="E6" i="6"/>
  <c r="G5" i="6"/>
  <c r="F5" i="6"/>
  <c r="E5" i="6"/>
  <c r="G4" i="6"/>
  <c r="F4" i="6"/>
  <c r="E4" i="6"/>
  <c r="G3" i="6"/>
  <c r="F3" i="6"/>
  <c r="E3" i="6"/>
  <c r="G2" i="6"/>
  <c r="F2" i="6"/>
  <c r="E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L3" i="11"/>
  <c r="L9" i="11"/>
  <c r="L2" i="11"/>
  <c r="K3" i="11"/>
  <c r="K4" i="11"/>
  <c r="L4" i="11" s="1"/>
  <c r="K5" i="11"/>
  <c r="L5" i="11" s="1"/>
  <c r="K7" i="11"/>
  <c r="L7" i="11" s="1"/>
  <c r="K2" i="11"/>
  <c r="I4" i="11"/>
  <c r="I5" i="11"/>
  <c r="I6" i="11"/>
  <c r="I7" i="1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3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198" i="2"/>
  <c r="I2" i="2"/>
  <c r="F3" i="2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" i="11"/>
  <c r="F2" i="11"/>
  <c r="F3" i="11"/>
  <c r="G3" i="11"/>
  <c r="F4" i="11"/>
  <c r="G4" i="11"/>
  <c r="F5" i="11"/>
  <c r="G5" i="11"/>
  <c r="F6" i="11"/>
  <c r="G6" i="11"/>
  <c r="F7" i="11"/>
  <c r="G7" i="11"/>
  <c r="F8" i="11"/>
  <c r="G8" i="11"/>
  <c r="F9" i="11"/>
  <c r="G9" i="11"/>
  <c r="F10" i="11"/>
  <c r="G10" i="11"/>
  <c r="F11" i="11"/>
  <c r="G11" i="11"/>
  <c r="F12" i="11"/>
  <c r="G12" i="11"/>
  <c r="F13" i="11"/>
  <c r="G13" i="11"/>
  <c r="F14" i="11"/>
  <c r="G14" i="11"/>
  <c r="F15" i="11"/>
  <c r="G15" i="11"/>
  <c r="F16" i="11"/>
  <c r="G16" i="11"/>
  <c r="F17" i="11"/>
  <c r="G17" i="11"/>
  <c r="F18" i="11"/>
  <c r="G18" i="11"/>
  <c r="F19" i="11"/>
  <c r="G19" i="11"/>
  <c r="F20" i="11"/>
  <c r="G20" i="11"/>
  <c r="F21" i="11"/>
  <c r="G21" i="11"/>
  <c r="F22" i="11"/>
  <c r="G22" i="11"/>
  <c r="F23" i="11"/>
  <c r="G23" i="11"/>
  <c r="F24" i="11"/>
  <c r="G24" i="11"/>
  <c r="F25" i="11"/>
  <c r="G25" i="11"/>
  <c r="F26" i="11"/>
  <c r="G26" i="11"/>
  <c r="F27" i="11"/>
  <c r="G27" i="11"/>
  <c r="F28" i="11"/>
  <c r="G28" i="11"/>
  <c r="F29" i="11"/>
  <c r="G29" i="11"/>
  <c r="F30" i="11"/>
  <c r="G30" i="11"/>
  <c r="F31" i="11"/>
  <c r="G31" i="11"/>
  <c r="F32" i="11"/>
  <c r="G32" i="11"/>
  <c r="F33" i="11"/>
  <c r="G33" i="11"/>
  <c r="F34" i="11"/>
  <c r="G34" i="11"/>
  <c r="F35" i="11"/>
  <c r="G35" i="11"/>
  <c r="F36" i="11"/>
  <c r="G36" i="11"/>
  <c r="F37" i="11"/>
  <c r="G37" i="11"/>
  <c r="F38" i="11"/>
  <c r="G38" i="11"/>
  <c r="F39" i="11"/>
  <c r="G39" i="11"/>
  <c r="F40" i="11"/>
  <c r="G40" i="11"/>
  <c r="F41" i="11"/>
  <c r="G41" i="11"/>
  <c r="F42" i="11"/>
  <c r="G42" i="11"/>
  <c r="F43" i="11"/>
  <c r="G43" i="11"/>
  <c r="F44" i="11"/>
  <c r="G44" i="11"/>
  <c r="F45" i="11"/>
  <c r="G45" i="11"/>
  <c r="F46" i="11"/>
  <c r="G46" i="11"/>
  <c r="F47" i="11"/>
  <c r="G47" i="11"/>
  <c r="F48" i="11"/>
  <c r="G48" i="11"/>
  <c r="F49" i="11"/>
  <c r="G49" i="11"/>
  <c r="F50" i="11"/>
  <c r="G50" i="11"/>
  <c r="F51" i="11"/>
  <c r="G51" i="11"/>
  <c r="F52" i="11"/>
  <c r="G52" i="11"/>
  <c r="F53" i="11"/>
  <c r="G53" i="11"/>
  <c r="F54" i="11"/>
  <c r="G54" i="11"/>
  <c r="F55" i="11"/>
  <c r="G55" i="11"/>
  <c r="F56" i="11"/>
  <c r="G56" i="11"/>
  <c r="F57" i="11"/>
  <c r="G57" i="11"/>
  <c r="F58" i="11"/>
  <c r="G58" i="11"/>
  <c r="F59" i="11"/>
  <c r="G59" i="11"/>
  <c r="F60" i="11"/>
  <c r="G60" i="11"/>
  <c r="F61" i="11"/>
  <c r="G61" i="11"/>
  <c r="F62" i="11"/>
  <c r="G62" i="11"/>
  <c r="F63" i="11"/>
  <c r="G63" i="11"/>
  <c r="F64" i="11"/>
  <c r="G64" i="11"/>
  <c r="F65" i="11"/>
  <c r="G65" i="11"/>
  <c r="F66" i="11"/>
  <c r="G66" i="11"/>
  <c r="F67" i="11"/>
  <c r="G67" i="11"/>
  <c r="F68" i="11"/>
  <c r="G68" i="11"/>
  <c r="F69" i="11"/>
  <c r="G69" i="11"/>
  <c r="F70" i="11"/>
  <c r="G70" i="11"/>
  <c r="F71" i="11"/>
  <c r="G71" i="11"/>
  <c r="F72" i="11"/>
  <c r="G72" i="11"/>
  <c r="F73" i="11"/>
  <c r="G73" i="11"/>
  <c r="F74" i="11"/>
  <c r="G74" i="11"/>
  <c r="F75" i="11"/>
  <c r="G75" i="11"/>
  <c r="F76" i="11"/>
  <c r="G76" i="11"/>
  <c r="F77" i="11"/>
  <c r="G77" i="11"/>
  <c r="F78" i="11"/>
  <c r="G78" i="11"/>
  <c r="F79" i="11"/>
  <c r="G79" i="11"/>
  <c r="F80" i="11"/>
  <c r="G80" i="11"/>
  <c r="F81" i="11"/>
  <c r="G81" i="11"/>
  <c r="F82" i="11"/>
  <c r="G82" i="11"/>
  <c r="F83" i="11"/>
  <c r="G83" i="11"/>
  <c r="F84" i="11"/>
  <c r="G84" i="11"/>
  <c r="F85" i="11"/>
  <c r="G85" i="11"/>
  <c r="F86" i="11"/>
  <c r="G86" i="11"/>
  <c r="F87" i="11"/>
  <c r="G87" i="11"/>
  <c r="F88" i="11"/>
  <c r="G88" i="11"/>
  <c r="F89" i="11"/>
  <c r="G89" i="11"/>
  <c r="F90" i="11"/>
  <c r="G90" i="11"/>
  <c r="F91" i="11"/>
  <c r="G91" i="11"/>
  <c r="F92" i="11"/>
  <c r="G92" i="11"/>
  <c r="F93" i="11"/>
  <c r="G93" i="11"/>
  <c r="F94" i="11"/>
  <c r="G94" i="11"/>
  <c r="F95" i="11"/>
  <c r="G95" i="11"/>
  <c r="F96" i="11"/>
  <c r="G96" i="11"/>
  <c r="F97" i="11"/>
  <c r="G97" i="11"/>
  <c r="F98" i="11"/>
  <c r="G98" i="11"/>
  <c r="F99" i="11"/>
  <c r="G99" i="11"/>
  <c r="F100" i="11"/>
  <c r="G100" i="11"/>
  <c r="F101" i="11"/>
  <c r="G101" i="11"/>
  <c r="F102" i="11"/>
  <c r="G102" i="11"/>
  <c r="F103" i="11"/>
  <c r="G103" i="11"/>
  <c r="F104" i="11"/>
  <c r="G104" i="11"/>
  <c r="F105" i="11"/>
  <c r="G105" i="11"/>
  <c r="F106" i="11"/>
  <c r="G106" i="11"/>
  <c r="F107" i="11"/>
  <c r="G107" i="11"/>
  <c r="F108" i="11"/>
  <c r="G108" i="11"/>
  <c r="F109" i="11"/>
  <c r="G109" i="11"/>
  <c r="F110" i="11"/>
  <c r="G110" i="11"/>
  <c r="F111" i="11"/>
  <c r="G111" i="11"/>
  <c r="F112" i="11"/>
  <c r="G112" i="11"/>
  <c r="F113" i="11"/>
  <c r="G113" i="11"/>
  <c r="F114" i="11"/>
  <c r="G114" i="11"/>
  <c r="F115" i="11"/>
  <c r="G115" i="11"/>
  <c r="F116" i="11"/>
  <c r="G116" i="11"/>
  <c r="F117" i="11"/>
  <c r="G117" i="11"/>
  <c r="F118" i="11"/>
  <c r="G118" i="11"/>
  <c r="F119" i="11"/>
  <c r="G119" i="11"/>
  <c r="F120" i="11"/>
  <c r="G120" i="11"/>
  <c r="F121" i="11"/>
  <c r="G121" i="11"/>
  <c r="F122" i="11"/>
  <c r="G122" i="11"/>
  <c r="F123" i="11"/>
  <c r="G123" i="11"/>
  <c r="F124" i="11"/>
  <c r="G124" i="11"/>
  <c r="F125" i="11"/>
  <c r="G125" i="11"/>
  <c r="F126" i="11"/>
  <c r="G126" i="11"/>
  <c r="F127" i="11"/>
  <c r="G127" i="11"/>
  <c r="F128" i="11"/>
  <c r="G128" i="11"/>
  <c r="F129" i="11"/>
  <c r="G129" i="11"/>
  <c r="F130" i="11"/>
  <c r="G130" i="11"/>
  <c r="F131" i="11"/>
  <c r="G131" i="11"/>
  <c r="F132" i="11"/>
  <c r="G132" i="11"/>
  <c r="F133" i="11"/>
  <c r="G133" i="11"/>
  <c r="F134" i="11"/>
  <c r="G134" i="11"/>
  <c r="F135" i="11"/>
  <c r="G135" i="11"/>
  <c r="F136" i="11"/>
  <c r="G136" i="11"/>
  <c r="F137" i="11"/>
  <c r="G137" i="11"/>
  <c r="F138" i="11"/>
  <c r="G138" i="11"/>
  <c r="F139" i="11"/>
  <c r="G139" i="11"/>
  <c r="F140" i="11"/>
  <c r="G140" i="11"/>
  <c r="F141" i="11"/>
  <c r="G141" i="11"/>
  <c r="F142" i="11"/>
  <c r="G142" i="11"/>
  <c r="F143" i="11"/>
  <c r="G143" i="11"/>
  <c r="F144" i="11"/>
  <c r="G144" i="11"/>
  <c r="F145" i="11"/>
  <c r="G145" i="11"/>
  <c r="F146" i="11"/>
  <c r="G146" i="11"/>
  <c r="F147" i="11"/>
  <c r="G147" i="11"/>
  <c r="F148" i="11"/>
  <c r="G148" i="11"/>
  <c r="F149" i="11"/>
  <c r="G149" i="11"/>
  <c r="F150" i="11"/>
  <c r="G150" i="11"/>
  <c r="F151" i="11"/>
  <c r="G151" i="11"/>
  <c r="F152" i="11"/>
  <c r="G152" i="11"/>
  <c r="F153" i="11"/>
  <c r="G153" i="11"/>
  <c r="F154" i="11"/>
  <c r="G154" i="11"/>
  <c r="F155" i="11"/>
  <c r="G155" i="11"/>
  <c r="F156" i="11"/>
  <c r="G156" i="11"/>
  <c r="F157" i="11"/>
  <c r="G157" i="11"/>
  <c r="F158" i="11"/>
  <c r="G158" i="11"/>
  <c r="F159" i="11"/>
  <c r="G159" i="11"/>
  <c r="F160" i="11"/>
  <c r="G160" i="11"/>
  <c r="F161" i="11"/>
  <c r="G161" i="11"/>
  <c r="F162" i="11"/>
  <c r="G162" i="1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G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4" i="11"/>
  <c r="C3" i="11"/>
  <c r="C2" i="1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" i="2"/>
  <c r="E7" i="18" l="1"/>
  <c r="F10" i="2"/>
  <c r="K8" i="11"/>
  <c r="L8" i="11" s="1"/>
  <c r="H4" i="6"/>
  <c r="I19" i="1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E96" i="2"/>
  <c r="E97" i="2"/>
  <c r="E98" i="2"/>
  <c r="E99" i="2"/>
  <c r="E192" i="2" s="1"/>
  <c r="E100" i="2"/>
  <c r="E101" i="2"/>
  <c r="E102" i="2"/>
  <c r="E103" i="2"/>
  <c r="E196" i="2" s="1"/>
  <c r="E104" i="2"/>
  <c r="E105" i="2"/>
  <c r="E106" i="2"/>
  <c r="E107" i="2"/>
  <c r="E200" i="2" s="1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3" i="2"/>
  <c r="E194" i="2"/>
  <c r="E195" i="2"/>
  <c r="E197" i="2"/>
  <c r="E198" i="2"/>
  <c r="E199" i="2"/>
  <c r="E201" i="2"/>
  <c r="E95" i="2"/>
  <c r="E4" i="2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3" i="2"/>
  <c r="E2" i="2"/>
  <c r="D169" i="2"/>
  <c r="I169" i="2" s="1"/>
  <c r="D170" i="2"/>
  <c r="D171" i="2"/>
  <c r="D172" i="2"/>
  <c r="I172" i="2" s="1"/>
  <c r="D173" i="2"/>
  <c r="I173" i="2" s="1"/>
  <c r="D174" i="2"/>
  <c r="D175" i="2"/>
  <c r="D176" i="2"/>
  <c r="I176" i="2" s="1"/>
  <c r="D177" i="2"/>
  <c r="I177" i="2" s="1"/>
  <c r="D178" i="2"/>
  <c r="D179" i="2"/>
  <c r="D180" i="2"/>
  <c r="I180" i="2" s="1"/>
  <c r="D181" i="2"/>
  <c r="I181" i="2" s="1"/>
  <c r="D182" i="2"/>
  <c r="D183" i="2"/>
  <c r="D184" i="2"/>
  <c r="I184" i="2" s="1"/>
  <c r="D185" i="2"/>
  <c r="I185" i="2" s="1"/>
  <c r="D186" i="2"/>
  <c r="D187" i="2"/>
  <c r="D188" i="2"/>
  <c r="I188" i="2" s="1"/>
  <c r="D189" i="2"/>
  <c r="I189" i="2" s="1"/>
  <c r="D190" i="2"/>
  <c r="D191" i="2"/>
  <c r="D192" i="2"/>
  <c r="I192" i="2" s="1"/>
  <c r="D193" i="2"/>
  <c r="I193" i="2" s="1"/>
  <c r="D194" i="2"/>
  <c r="D195" i="2"/>
  <c r="D196" i="2"/>
  <c r="I196" i="2" s="1"/>
  <c r="D197" i="2"/>
  <c r="I197" i="2" s="1"/>
  <c r="D199" i="2"/>
  <c r="D200" i="2"/>
  <c r="I200" i="2" s="1"/>
  <c r="D201" i="2"/>
  <c r="I201" i="2" s="1"/>
  <c r="D168" i="2"/>
  <c r="D63" i="2"/>
  <c r="I63" i="2" s="1"/>
  <c r="D64" i="2"/>
  <c r="D65" i="2"/>
  <c r="D66" i="2"/>
  <c r="D67" i="2"/>
  <c r="I67" i="2" s="1"/>
  <c r="D68" i="2"/>
  <c r="D69" i="2"/>
  <c r="D70" i="2"/>
  <c r="D71" i="2"/>
  <c r="I71" i="2" s="1"/>
  <c r="D72" i="2"/>
  <c r="D73" i="2"/>
  <c r="D74" i="2"/>
  <c r="D75" i="2"/>
  <c r="I75" i="2" s="1"/>
  <c r="D76" i="2"/>
  <c r="D77" i="2"/>
  <c r="D78" i="2"/>
  <c r="D79" i="2"/>
  <c r="I79" i="2" s="1"/>
  <c r="D80" i="2"/>
  <c r="D81" i="2"/>
  <c r="D82" i="2"/>
  <c r="D83" i="2"/>
  <c r="I83" i="2" s="1"/>
  <c r="D84" i="2"/>
  <c r="D85" i="2"/>
  <c r="D86" i="2"/>
  <c r="D87" i="2"/>
  <c r="I87" i="2" s="1"/>
  <c r="D88" i="2"/>
  <c r="D89" i="2"/>
  <c r="D90" i="2"/>
  <c r="D91" i="2"/>
  <c r="I91" i="2" s="1"/>
  <c r="D92" i="2"/>
  <c r="D93" i="2"/>
  <c r="D94" i="2"/>
  <c r="D95" i="2"/>
  <c r="I95" i="2" s="1"/>
  <c r="D96" i="2"/>
  <c r="D97" i="2"/>
  <c r="D98" i="2"/>
  <c r="D99" i="2"/>
  <c r="I99" i="2" s="1"/>
  <c r="D100" i="2"/>
  <c r="D101" i="2"/>
  <c r="D102" i="2"/>
  <c r="D103" i="2"/>
  <c r="I103" i="2" s="1"/>
  <c r="D104" i="2"/>
  <c r="D105" i="2"/>
  <c r="D106" i="2"/>
  <c r="D107" i="2"/>
  <c r="I107" i="2" s="1"/>
  <c r="D108" i="2"/>
  <c r="D109" i="2"/>
  <c r="D110" i="2"/>
  <c r="D111" i="2"/>
  <c r="I111" i="2" s="1"/>
  <c r="D112" i="2"/>
  <c r="D113" i="2"/>
  <c r="D114" i="2"/>
  <c r="D115" i="2"/>
  <c r="I115" i="2" s="1"/>
  <c r="D116" i="2"/>
  <c r="D117" i="2"/>
  <c r="D118" i="2"/>
  <c r="D119" i="2"/>
  <c r="I119" i="2" s="1"/>
  <c r="D120" i="2"/>
  <c r="D121" i="2"/>
  <c r="D122" i="2"/>
  <c r="D123" i="2"/>
  <c r="I123" i="2" s="1"/>
  <c r="D124" i="2"/>
  <c r="D125" i="2"/>
  <c r="D126" i="2"/>
  <c r="D127" i="2"/>
  <c r="I127" i="2" s="1"/>
  <c r="D128" i="2"/>
  <c r="D129" i="2"/>
  <c r="D130" i="2"/>
  <c r="D131" i="2"/>
  <c r="I131" i="2" s="1"/>
  <c r="D132" i="2"/>
  <c r="D133" i="2"/>
  <c r="D134" i="2"/>
  <c r="D135" i="2"/>
  <c r="I135" i="2" s="1"/>
  <c r="D136" i="2"/>
  <c r="D137" i="2"/>
  <c r="D138" i="2"/>
  <c r="D139" i="2"/>
  <c r="I139" i="2" s="1"/>
  <c r="D140" i="2"/>
  <c r="D141" i="2"/>
  <c r="D142" i="2"/>
  <c r="D143" i="2"/>
  <c r="I143" i="2" s="1"/>
  <c r="D144" i="2"/>
  <c r="D145" i="2"/>
  <c r="D146" i="2"/>
  <c r="D147" i="2"/>
  <c r="I147" i="2" s="1"/>
  <c r="D148" i="2"/>
  <c r="D149" i="2"/>
  <c r="D150" i="2"/>
  <c r="D151" i="2"/>
  <c r="I151" i="2" s="1"/>
  <c r="D152" i="2"/>
  <c r="D153" i="2"/>
  <c r="D154" i="2"/>
  <c r="D155" i="2"/>
  <c r="I155" i="2" s="1"/>
  <c r="D156" i="2"/>
  <c r="D157" i="2"/>
  <c r="D158" i="2"/>
  <c r="D159" i="2"/>
  <c r="I159" i="2" s="1"/>
  <c r="D160" i="2"/>
  <c r="D161" i="2"/>
  <c r="D162" i="2"/>
  <c r="D163" i="2"/>
  <c r="I163" i="2" s="1"/>
  <c r="D164" i="2"/>
  <c r="D165" i="2"/>
  <c r="D166" i="2"/>
  <c r="D167" i="2"/>
  <c r="I167" i="2" s="1"/>
  <c r="D62" i="2"/>
  <c r="D3" i="2"/>
  <c r="D4" i="2"/>
  <c r="I4" i="2" s="1"/>
  <c r="D5" i="2"/>
  <c r="I5" i="2" s="1"/>
  <c r="D6" i="2"/>
  <c r="I6" i="2" s="1"/>
  <c r="D7" i="2"/>
  <c r="D8" i="2"/>
  <c r="I8" i="2" s="1"/>
  <c r="D9" i="2"/>
  <c r="I9" i="2" s="1"/>
  <c r="D10" i="2"/>
  <c r="I10" i="2" s="1"/>
  <c r="D11" i="2"/>
  <c r="D12" i="2"/>
  <c r="I12" i="2" s="1"/>
  <c r="D13" i="2"/>
  <c r="I13" i="2" s="1"/>
  <c r="D14" i="2"/>
  <c r="I14" i="2" s="1"/>
  <c r="D15" i="2"/>
  <c r="D16" i="2"/>
  <c r="I16" i="2" s="1"/>
  <c r="D17" i="2"/>
  <c r="I17" i="2" s="1"/>
  <c r="D18" i="2"/>
  <c r="I18" i="2" s="1"/>
  <c r="D19" i="2"/>
  <c r="D20" i="2"/>
  <c r="I20" i="2" s="1"/>
  <c r="D21" i="2"/>
  <c r="I21" i="2" s="1"/>
  <c r="D22" i="2"/>
  <c r="I22" i="2" s="1"/>
  <c r="D23" i="2"/>
  <c r="D24" i="2"/>
  <c r="I24" i="2" s="1"/>
  <c r="D25" i="2"/>
  <c r="I25" i="2" s="1"/>
  <c r="D26" i="2"/>
  <c r="I26" i="2" s="1"/>
  <c r="D27" i="2"/>
  <c r="D28" i="2"/>
  <c r="I28" i="2" s="1"/>
  <c r="D29" i="2"/>
  <c r="I29" i="2" s="1"/>
  <c r="D30" i="2"/>
  <c r="I30" i="2" s="1"/>
  <c r="D31" i="2"/>
  <c r="D32" i="2"/>
  <c r="I32" i="2" s="1"/>
  <c r="D33" i="2"/>
  <c r="I33" i="2" s="1"/>
  <c r="D34" i="2"/>
  <c r="I34" i="2" s="1"/>
  <c r="D35" i="2"/>
  <c r="D36" i="2"/>
  <c r="I36" i="2" s="1"/>
  <c r="D37" i="2"/>
  <c r="I37" i="2" s="1"/>
  <c r="D38" i="2"/>
  <c r="I38" i="2" s="1"/>
  <c r="D39" i="2"/>
  <c r="D40" i="2"/>
  <c r="I40" i="2" s="1"/>
  <c r="D41" i="2"/>
  <c r="I41" i="2" s="1"/>
  <c r="D42" i="2"/>
  <c r="I42" i="2" s="1"/>
  <c r="D43" i="2"/>
  <c r="D44" i="2"/>
  <c r="I44" i="2" s="1"/>
  <c r="D45" i="2"/>
  <c r="I45" i="2" s="1"/>
  <c r="D46" i="2"/>
  <c r="I46" i="2" s="1"/>
  <c r="D47" i="2"/>
  <c r="D48" i="2"/>
  <c r="I48" i="2" s="1"/>
  <c r="D49" i="2"/>
  <c r="I49" i="2" s="1"/>
  <c r="D50" i="2"/>
  <c r="I50" i="2" s="1"/>
  <c r="D51" i="2"/>
  <c r="D52" i="2"/>
  <c r="I52" i="2" s="1"/>
  <c r="D53" i="2"/>
  <c r="I53" i="2" s="1"/>
  <c r="D54" i="2"/>
  <c r="I54" i="2" s="1"/>
  <c r="D55" i="2"/>
  <c r="D56" i="2"/>
  <c r="I56" i="2" s="1"/>
  <c r="D57" i="2"/>
  <c r="I57" i="2" s="1"/>
  <c r="D58" i="2"/>
  <c r="I58" i="2" s="1"/>
  <c r="D59" i="2"/>
  <c r="D60" i="2"/>
  <c r="I60" i="2" s="1"/>
  <c r="D61" i="2"/>
  <c r="I61" i="2" s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2" i="2"/>
  <c r="I64" i="2"/>
  <c r="I65" i="2"/>
  <c r="I66" i="2"/>
  <c r="I68" i="2"/>
  <c r="I69" i="2"/>
  <c r="I70" i="2"/>
  <c r="I72" i="2"/>
  <c r="I73" i="2"/>
  <c r="I74" i="2"/>
  <c r="I76" i="2"/>
  <c r="I77" i="2"/>
  <c r="I78" i="2"/>
  <c r="I80" i="2"/>
  <c r="I81" i="2"/>
  <c r="I82" i="2"/>
  <c r="I84" i="2"/>
  <c r="I85" i="2"/>
  <c r="I86" i="2"/>
  <c r="I88" i="2"/>
  <c r="I89" i="2"/>
  <c r="I90" i="2"/>
  <c r="I92" i="2"/>
  <c r="I93" i="2"/>
  <c r="I94" i="2"/>
  <c r="I96" i="2"/>
  <c r="I97" i="2"/>
  <c r="I98" i="2"/>
  <c r="I100" i="2"/>
  <c r="I101" i="2"/>
  <c r="I102" i="2"/>
  <c r="I104" i="2"/>
  <c r="I105" i="2"/>
  <c r="I106" i="2"/>
  <c r="I108" i="2"/>
  <c r="I109" i="2"/>
  <c r="I110" i="2"/>
  <c r="I112" i="2"/>
  <c r="I113" i="2"/>
  <c r="I114" i="2"/>
  <c r="I116" i="2"/>
  <c r="I117" i="2"/>
  <c r="I118" i="2"/>
  <c r="I120" i="2"/>
  <c r="I121" i="2"/>
  <c r="I122" i="2"/>
  <c r="I124" i="2"/>
  <c r="I125" i="2"/>
  <c r="I126" i="2"/>
  <c r="I128" i="2"/>
  <c r="I129" i="2"/>
  <c r="I130" i="2"/>
  <c r="I132" i="2"/>
  <c r="I133" i="2"/>
  <c r="I134" i="2"/>
  <c r="I136" i="2"/>
  <c r="I137" i="2"/>
  <c r="I138" i="2"/>
  <c r="I140" i="2"/>
  <c r="I141" i="2"/>
  <c r="I142" i="2"/>
  <c r="I144" i="2"/>
  <c r="I145" i="2"/>
  <c r="I146" i="2"/>
  <c r="I148" i="2"/>
  <c r="I149" i="2"/>
  <c r="I150" i="2"/>
  <c r="I152" i="2"/>
  <c r="I153" i="2"/>
  <c r="I154" i="2"/>
  <c r="I156" i="2"/>
  <c r="I157" i="2"/>
  <c r="I158" i="2"/>
  <c r="I160" i="2"/>
  <c r="I161" i="2"/>
  <c r="I162" i="2"/>
  <c r="I164" i="2"/>
  <c r="I165" i="2"/>
  <c r="I166" i="2"/>
  <c r="I168" i="2"/>
  <c r="I170" i="2"/>
  <c r="I171" i="2"/>
  <c r="I174" i="2"/>
  <c r="I175" i="2"/>
  <c r="I178" i="2"/>
  <c r="I179" i="2"/>
  <c r="I182" i="2"/>
  <c r="I183" i="2"/>
  <c r="I186" i="2"/>
  <c r="I187" i="2"/>
  <c r="I190" i="2"/>
  <c r="I191" i="2"/>
  <c r="I194" i="2"/>
  <c r="I195" i="2"/>
  <c r="I198" i="2"/>
  <c r="I199" i="2"/>
  <c r="D2" i="2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" i="11"/>
  <c r="M4" i="11"/>
  <c r="M5" i="11" s="1"/>
  <c r="M6" i="11" s="1"/>
  <c r="M7" i="11"/>
  <c r="M8" i="11"/>
  <c r="M9" i="11" s="1"/>
  <c r="M10" i="11" s="1"/>
  <c r="M11" i="11"/>
  <c r="M12" i="11" s="1"/>
  <c r="M13" i="11" s="1"/>
  <c r="M14" i="11" s="1"/>
  <c r="M15" i="11" s="1"/>
  <c r="M16" i="11" s="1"/>
  <c r="M17" i="11" s="1"/>
  <c r="M18" i="11" s="1"/>
  <c r="M19" i="11" s="1"/>
  <c r="M20" i="11" s="1"/>
  <c r="M21" i="11" s="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M62" i="11" s="1"/>
  <c r="M63" i="11" s="1"/>
  <c r="M64" i="11" s="1"/>
  <c r="M65" i="11" s="1"/>
  <c r="M66" i="11" s="1"/>
  <c r="M67" i="11" s="1"/>
  <c r="M68" i="11" s="1"/>
  <c r="M69" i="11" s="1"/>
  <c r="M70" i="11" s="1"/>
  <c r="M71" i="11" s="1"/>
  <c r="M72" i="11" s="1"/>
  <c r="M73" i="11" s="1"/>
  <c r="M74" i="11" s="1"/>
  <c r="M75" i="11" s="1"/>
  <c r="M76" i="11" s="1"/>
  <c r="M77" i="11" s="1"/>
  <c r="M78" i="11" s="1"/>
  <c r="M79" i="11" s="1"/>
  <c r="M80" i="11" s="1"/>
  <c r="M81" i="11" s="1"/>
  <c r="M82" i="11" s="1"/>
  <c r="M83" i="11" s="1"/>
  <c r="M84" i="11" s="1"/>
  <c r="M85" i="11" s="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M112" i="11" s="1"/>
  <c r="M113" i="11" s="1"/>
  <c r="M114" i="11" s="1"/>
  <c r="M115" i="11" s="1"/>
  <c r="M116" i="11" s="1"/>
  <c r="M117" i="11" s="1"/>
  <c r="M118" i="11" s="1"/>
  <c r="M119" i="11" s="1"/>
  <c r="M120" i="11" s="1"/>
  <c r="M121" i="11" s="1"/>
  <c r="M122" i="11" s="1"/>
  <c r="M123" i="11" s="1"/>
  <c r="M124" i="11" s="1"/>
  <c r="M125" i="11" s="1"/>
  <c r="M126" i="11" s="1"/>
  <c r="M127" i="11" s="1"/>
  <c r="M128" i="11" s="1"/>
  <c r="M129" i="11" s="1"/>
  <c r="M130" i="11" s="1"/>
  <c r="M131" i="11" s="1"/>
  <c r="M132" i="11" s="1"/>
  <c r="M133" i="11" s="1"/>
  <c r="M134" i="11" s="1"/>
  <c r="M135" i="11" s="1"/>
  <c r="M136" i="11" s="1"/>
  <c r="M137" i="11" s="1"/>
  <c r="M138" i="11" s="1"/>
  <c r="M139" i="11" s="1"/>
  <c r="M140" i="11" s="1"/>
  <c r="M141" i="11" s="1"/>
  <c r="M142" i="11" s="1"/>
  <c r="M143" i="11" s="1"/>
  <c r="M144" i="11" s="1"/>
  <c r="M145" i="11" s="1"/>
  <c r="M146" i="11" s="1"/>
  <c r="M147" i="11" s="1"/>
  <c r="M148" i="11" s="1"/>
  <c r="M149" i="11" s="1"/>
  <c r="M150" i="11" s="1"/>
  <c r="M151" i="11" s="1"/>
  <c r="M152" i="11" s="1"/>
  <c r="M153" i="11" s="1"/>
  <c r="M154" i="11" s="1"/>
  <c r="M155" i="11" s="1"/>
  <c r="M156" i="11" s="1"/>
  <c r="M157" i="11" s="1"/>
  <c r="M158" i="11" s="1"/>
  <c r="M159" i="11" s="1"/>
  <c r="M160" i="11" s="1"/>
  <c r="M161" i="11" s="1"/>
  <c r="M162" i="11" s="1"/>
  <c r="M163" i="11" s="1"/>
  <c r="M164" i="11" s="1"/>
  <c r="M165" i="11" s="1"/>
  <c r="M166" i="11" s="1"/>
  <c r="M167" i="11" s="1"/>
  <c r="M168" i="11" s="1"/>
  <c r="M169" i="11" s="1"/>
  <c r="M170" i="11" s="1"/>
  <c r="M171" i="11" s="1"/>
  <c r="M172" i="11" s="1"/>
  <c r="M173" i="11" s="1"/>
  <c r="M174" i="11" s="1"/>
  <c r="M175" i="11" s="1"/>
  <c r="M176" i="11" s="1"/>
  <c r="M177" i="11" s="1"/>
  <c r="M178" i="11" s="1"/>
  <c r="M179" i="11" s="1"/>
  <c r="M180" i="11" s="1"/>
  <c r="M181" i="11" s="1"/>
  <c r="M182" i="11" s="1"/>
  <c r="M183" i="11" s="1"/>
  <c r="M184" i="11" s="1"/>
  <c r="M185" i="11" s="1"/>
  <c r="M186" i="11" s="1"/>
  <c r="M187" i="11" s="1"/>
  <c r="M188" i="11" s="1"/>
  <c r="M189" i="11" s="1"/>
  <c r="M190" i="11" s="1"/>
  <c r="M191" i="11" s="1"/>
  <c r="M192" i="11" s="1"/>
  <c r="M193" i="11" s="1"/>
  <c r="M194" i="11" s="1"/>
  <c r="M195" i="11" s="1"/>
  <c r="M196" i="11" s="1"/>
  <c r="M197" i="11" s="1"/>
  <c r="M198" i="11" s="1"/>
  <c r="M199" i="11" s="1"/>
  <c r="M200" i="11" s="1"/>
  <c r="M201" i="11" s="1"/>
  <c r="M3" i="11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2" i="16"/>
  <c r="E4" i="16"/>
  <c r="E5" i="16" s="1"/>
  <c r="E6" i="16" s="1"/>
  <c r="E7" i="16" s="1"/>
  <c r="E8" i="16" s="1"/>
  <c r="E9" i="16" s="1"/>
  <c r="E10" i="16" s="1"/>
  <c r="E11" i="16" s="1"/>
  <c r="E12" i="16" s="1"/>
  <c r="E13" i="16" s="1"/>
  <c r="E14" i="16" s="1"/>
  <c r="E15" i="16" s="1"/>
  <c r="E16" i="16" s="1"/>
  <c r="E17" i="16" s="1"/>
  <c r="E18" i="16" s="1"/>
  <c r="E19" i="16" s="1"/>
  <c r="E20" i="16" s="1"/>
  <c r="E21" i="16" s="1"/>
  <c r="E22" i="16" s="1"/>
  <c r="E23" i="16" s="1"/>
  <c r="E24" i="16" s="1"/>
  <c r="E25" i="16" s="1"/>
  <c r="E26" i="16" s="1"/>
  <c r="E27" i="16" s="1"/>
  <c r="E28" i="16" s="1"/>
  <c r="E29" i="16" s="1"/>
  <c r="E30" i="16" s="1"/>
  <c r="E31" i="16" s="1"/>
  <c r="E32" i="16" s="1"/>
  <c r="E33" i="16" s="1"/>
  <c r="E34" i="16" s="1"/>
  <c r="E35" i="16" s="1"/>
  <c r="E36" i="16" s="1"/>
  <c r="E37" i="16" s="1"/>
  <c r="E38" i="16" s="1"/>
  <c r="E39" i="16" s="1"/>
  <c r="E40" i="16" s="1"/>
  <c r="E41" i="16" s="1"/>
  <c r="E42" i="16" s="1"/>
  <c r="E43" i="16" s="1"/>
  <c r="E44" i="16" s="1"/>
  <c r="E45" i="16" s="1"/>
  <c r="E46" i="16" s="1"/>
  <c r="E47" i="16" s="1"/>
  <c r="E48" i="16" s="1"/>
  <c r="E49" i="16" s="1"/>
  <c r="E50" i="16" s="1"/>
  <c r="E51" i="16" s="1"/>
  <c r="E52" i="16" s="1"/>
  <c r="E53" i="16" s="1"/>
  <c r="E54" i="16" s="1"/>
  <c r="E55" i="16" s="1"/>
  <c r="E56" i="16" s="1"/>
  <c r="E57" i="16" s="1"/>
  <c r="E58" i="16" s="1"/>
  <c r="E59" i="16" s="1"/>
  <c r="E60" i="16" s="1"/>
  <c r="E61" i="16" s="1"/>
  <c r="E62" i="16" s="1"/>
  <c r="E63" i="16" s="1"/>
  <c r="E64" i="16" s="1"/>
  <c r="E65" i="16" s="1"/>
  <c r="E66" i="16" s="1"/>
  <c r="E67" i="16" s="1"/>
  <c r="E68" i="16" s="1"/>
  <c r="E69" i="16" s="1"/>
  <c r="E70" i="16" s="1"/>
  <c r="E71" i="16" s="1"/>
  <c r="E72" i="16" s="1"/>
  <c r="E73" i="16" s="1"/>
  <c r="E74" i="16" s="1"/>
  <c r="E75" i="16" s="1"/>
  <c r="E76" i="16" s="1"/>
  <c r="E77" i="16" s="1"/>
  <c r="E78" i="16" s="1"/>
  <c r="E79" i="16" s="1"/>
  <c r="E80" i="16" s="1"/>
  <c r="E81" i="16" s="1"/>
  <c r="E82" i="16" s="1"/>
  <c r="E83" i="16" s="1"/>
  <c r="E84" i="16" s="1"/>
  <c r="E85" i="16" s="1"/>
  <c r="E86" i="16" s="1"/>
  <c r="E87" i="16" s="1"/>
  <c r="E88" i="16" s="1"/>
  <c r="E89" i="16" s="1"/>
  <c r="E90" i="16" s="1"/>
  <c r="E91" i="16" s="1"/>
  <c r="E92" i="16" s="1"/>
  <c r="E93" i="16" s="1"/>
  <c r="E94" i="16" s="1"/>
  <c r="E95" i="16" s="1"/>
  <c r="E96" i="16" s="1"/>
  <c r="E97" i="16" s="1"/>
  <c r="E98" i="16" s="1"/>
  <c r="E99" i="16" s="1"/>
  <c r="E100" i="16" s="1"/>
  <c r="E101" i="16" s="1"/>
  <c r="E102" i="16" s="1"/>
  <c r="E103" i="16" s="1"/>
  <c r="E104" i="16" s="1"/>
  <c r="E105" i="16" s="1"/>
  <c r="E106" i="16" s="1"/>
  <c r="E107" i="16" s="1"/>
  <c r="E108" i="16" s="1"/>
  <c r="E109" i="16" s="1"/>
  <c r="E110" i="16" s="1"/>
  <c r="E111" i="16" s="1"/>
  <c r="E112" i="16" s="1"/>
  <c r="E113" i="16" s="1"/>
  <c r="E114" i="16" s="1"/>
  <c r="E115" i="16" s="1"/>
  <c r="E116" i="16" s="1"/>
  <c r="E117" i="16" s="1"/>
  <c r="E118" i="16" s="1"/>
  <c r="E119" i="16" s="1"/>
  <c r="E120" i="16" s="1"/>
  <c r="E121" i="16" s="1"/>
  <c r="E122" i="16" s="1"/>
  <c r="E123" i="16" s="1"/>
  <c r="E124" i="16" s="1"/>
  <c r="E125" i="16" s="1"/>
  <c r="E126" i="16" s="1"/>
  <c r="E127" i="16" s="1"/>
  <c r="E128" i="16" s="1"/>
  <c r="E129" i="16" s="1"/>
  <c r="E130" i="16" s="1"/>
  <c r="E131" i="16" s="1"/>
  <c r="E132" i="16" s="1"/>
  <c r="E133" i="16" s="1"/>
  <c r="E134" i="16" s="1"/>
  <c r="E135" i="16" s="1"/>
  <c r="E136" i="16" s="1"/>
  <c r="E137" i="16" s="1"/>
  <c r="E138" i="16" s="1"/>
  <c r="E139" i="16" s="1"/>
  <c r="E140" i="16" s="1"/>
  <c r="E141" i="16" s="1"/>
  <c r="E142" i="16" s="1"/>
  <c r="E143" i="16" s="1"/>
  <c r="E144" i="16" s="1"/>
  <c r="E145" i="16" s="1"/>
  <c r="E146" i="16" s="1"/>
  <c r="E147" i="16" s="1"/>
  <c r="E148" i="16" s="1"/>
  <c r="E149" i="16" s="1"/>
  <c r="E150" i="16" s="1"/>
  <c r="E151" i="16" s="1"/>
  <c r="E3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2" i="16"/>
  <c r="A5" i="16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3" i="16"/>
  <c r="A4" i="16" s="1"/>
  <c r="A4" i="13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3" i="13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9"/>
  <c r="C4" i="19"/>
  <c r="C5" i="19" s="1"/>
  <c r="C6" i="19" s="1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3" i="19"/>
  <c r="A5" i="19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4" i="19"/>
  <c r="A3" i="19"/>
  <c r="D130" i="1"/>
  <c r="D2" i="1"/>
  <c r="C2" i="1"/>
  <c r="C130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" i="1"/>
  <c r="E8" i="18" l="1"/>
  <c r="F7" i="18"/>
  <c r="F11" i="2"/>
  <c r="K10" i="11"/>
  <c r="L10" i="11" s="1"/>
  <c r="H97" i="6"/>
  <c r="H190" i="6" s="1"/>
  <c r="H5" i="6"/>
  <c r="I35" i="1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C3" i="1"/>
  <c r="E9" i="18" l="1"/>
  <c r="F8" i="18"/>
  <c r="F12" i="2"/>
  <c r="K11" i="11"/>
  <c r="L11" i="11" s="1"/>
  <c r="H98" i="6"/>
  <c r="H191" i="6" s="1"/>
  <c r="H6" i="6"/>
  <c r="I51" i="11"/>
  <c r="I52" i="11" s="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I80" i="11" s="1"/>
  <c r="I81" i="11" s="1"/>
  <c r="I82" i="11" s="1"/>
  <c r="I83" i="11" s="1"/>
  <c r="I84" i="11" s="1"/>
  <c r="I85" i="11" s="1"/>
  <c r="I86" i="11" s="1"/>
  <c r="I87" i="11" s="1"/>
  <c r="I88" i="11" s="1"/>
  <c r="I89" i="11" s="1"/>
  <c r="I90" i="11" s="1"/>
  <c r="I91" i="11" s="1"/>
  <c r="I92" i="11" s="1"/>
  <c r="I93" i="11" s="1"/>
  <c r="C131" i="1"/>
  <c r="D131" i="1" s="1"/>
  <c r="D3" i="1"/>
  <c r="C4" i="1"/>
  <c r="E10" i="18" l="1"/>
  <c r="F9" i="18"/>
  <c r="F13" i="2"/>
  <c r="K12" i="11"/>
  <c r="L12" i="11" s="1"/>
  <c r="H99" i="6"/>
  <c r="H192" i="6" s="1"/>
  <c r="H7" i="6"/>
  <c r="I94" i="11"/>
  <c r="I95" i="11" s="1"/>
  <c r="I96" i="11" s="1"/>
  <c r="I97" i="11" s="1"/>
  <c r="I98" i="11" s="1"/>
  <c r="I99" i="11" s="1"/>
  <c r="I100" i="11" s="1"/>
  <c r="I101" i="11" s="1"/>
  <c r="I102" i="11" s="1"/>
  <c r="I103" i="11" s="1"/>
  <c r="I104" i="11" s="1"/>
  <c r="I105" i="11" s="1"/>
  <c r="I106" i="11" s="1"/>
  <c r="I107" i="11" s="1"/>
  <c r="I108" i="11" s="1"/>
  <c r="I109" i="11" s="1"/>
  <c r="I110" i="11" s="1"/>
  <c r="I111" i="11" s="1"/>
  <c r="I112" i="11" s="1"/>
  <c r="C5" i="1"/>
  <c r="D5" i="1" s="1"/>
  <c r="D4" i="1"/>
  <c r="C132" i="1"/>
  <c r="D132" i="1" s="1"/>
  <c r="C6" i="1"/>
  <c r="D6" i="1" s="1"/>
  <c r="C133" i="1"/>
  <c r="D133" i="1" s="1"/>
  <c r="F10" i="18" l="1"/>
  <c r="E11" i="18"/>
  <c r="K13" i="11"/>
  <c r="L13" i="11" s="1"/>
  <c r="F14" i="2"/>
  <c r="H100" i="6"/>
  <c r="H193" i="6" s="1"/>
  <c r="H8" i="6"/>
  <c r="I113" i="11"/>
  <c r="I114" i="11" s="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C7" i="1"/>
  <c r="D7" i="1" s="1"/>
  <c r="C134" i="1"/>
  <c r="D134" i="1" s="1"/>
  <c r="E12" i="18" l="1"/>
  <c r="F11" i="18"/>
  <c r="K14" i="11"/>
  <c r="L14" i="11" s="1"/>
  <c r="F15" i="2"/>
  <c r="H101" i="6"/>
  <c r="H194" i="6" s="1"/>
  <c r="H9" i="6"/>
  <c r="I126" i="11"/>
  <c r="I127" i="11" s="1"/>
  <c r="I128" i="11" s="1"/>
  <c r="I129" i="11" s="1"/>
  <c r="I130" i="11" s="1"/>
  <c r="I131" i="11" s="1"/>
  <c r="I132" i="11" s="1"/>
  <c r="I133" i="11" s="1"/>
  <c r="C8" i="1"/>
  <c r="D8" i="1" s="1"/>
  <c r="C135" i="1"/>
  <c r="D135" i="1" s="1"/>
  <c r="F12" i="18" l="1"/>
  <c r="E13" i="18"/>
  <c r="F16" i="2"/>
  <c r="K15" i="11"/>
  <c r="L15" i="11" s="1"/>
  <c r="H102" i="6"/>
  <c r="H195" i="6" s="1"/>
  <c r="H10" i="6"/>
  <c r="I134" i="11"/>
  <c r="C9" i="1"/>
  <c r="D9" i="1" s="1"/>
  <c r="C136" i="1"/>
  <c r="D136" i="1" s="1"/>
  <c r="E14" i="18" l="1"/>
  <c r="F13" i="18"/>
  <c r="F17" i="2"/>
  <c r="K16" i="11"/>
  <c r="L16" i="11" s="1"/>
  <c r="H103" i="6"/>
  <c r="H196" i="6" s="1"/>
  <c r="H11" i="6"/>
  <c r="I135" i="11"/>
  <c r="I136" i="11" s="1"/>
  <c r="I137" i="11" s="1"/>
  <c r="I138" i="11" s="1"/>
  <c r="I139" i="11" s="1"/>
  <c r="I140" i="11" s="1"/>
  <c r="I141" i="11" s="1"/>
  <c r="I142" i="11" s="1"/>
  <c r="I143" i="11" s="1"/>
  <c r="I144" i="11" s="1"/>
  <c r="I145" i="11" s="1"/>
  <c r="I146" i="11" s="1"/>
  <c r="I147" i="11" s="1"/>
  <c r="I148" i="11" s="1"/>
  <c r="I149" i="11" s="1"/>
  <c r="I150" i="11" s="1"/>
  <c r="I151" i="11" s="1"/>
  <c r="I152" i="11" s="1"/>
  <c r="I153" i="11" s="1"/>
  <c r="I154" i="11" s="1"/>
  <c r="I155" i="11" s="1"/>
  <c r="I156" i="11" s="1"/>
  <c r="I157" i="11" s="1"/>
  <c r="I158" i="11" s="1"/>
  <c r="I159" i="11" s="1"/>
  <c r="I160" i="11" s="1"/>
  <c r="I161" i="11" s="1"/>
  <c r="I162" i="11" s="1"/>
  <c r="I163" i="11" s="1"/>
  <c r="I164" i="11" s="1"/>
  <c r="I165" i="11" s="1"/>
  <c r="I166" i="11" s="1"/>
  <c r="I167" i="11" s="1"/>
  <c r="I168" i="11" s="1"/>
  <c r="I169" i="11" s="1"/>
  <c r="I170" i="11" s="1"/>
  <c r="I171" i="11" s="1"/>
  <c r="I172" i="11" s="1"/>
  <c r="I173" i="11" s="1"/>
  <c r="I174" i="11" s="1"/>
  <c r="I175" i="11" s="1"/>
  <c r="I176" i="11" s="1"/>
  <c r="I177" i="11" s="1"/>
  <c r="I178" i="11" s="1"/>
  <c r="I179" i="11" s="1"/>
  <c r="I180" i="11" s="1"/>
  <c r="I181" i="11" s="1"/>
  <c r="I182" i="11" s="1"/>
  <c r="I183" i="11" s="1"/>
  <c r="I184" i="11" s="1"/>
  <c r="I185" i="11" s="1"/>
  <c r="I186" i="11" s="1"/>
  <c r="I187" i="11" s="1"/>
  <c r="I188" i="11" s="1"/>
  <c r="I189" i="11" s="1"/>
  <c r="I190" i="11" s="1"/>
  <c r="I191" i="11" s="1"/>
  <c r="I192" i="11" s="1"/>
  <c r="I193" i="11" s="1"/>
  <c r="I194" i="11" s="1"/>
  <c r="I195" i="11" s="1"/>
  <c r="I196" i="11" s="1"/>
  <c r="I197" i="11" s="1"/>
  <c r="I198" i="11" s="1"/>
  <c r="I199" i="11" s="1"/>
  <c r="I200" i="11" s="1"/>
  <c r="I201" i="11" s="1"/>
  <c r="C10" i="1"/>
  <c r="D10" i="1" s="1"/>
  <c r="C137" i="1"/>
  <c r="D137" i="1" s="1"/>
  <c r="F14" i="18" l="1"/>
  <c r="E15" i="18"/>
  <c r="K17" i="11"/>
  <c r="L17" i="11" s="1"/>
  <c r="F18" i="2"/>
  <c r="H104" i="6"/>
  <c r="H197" i="6" s="1"/>
  <c r="H12" i="6"/>
  <c r="C11" i="1"/>
  <c r="D11" i="1" s="1"/>
  <c r="C138" i="1"/>
  <c r="D138" i="1" s="1"/>
  <c r="E16" i="18" l="1"/>
  <c r="F15" i="18"/>
  <c r="F19" i="2"/>
  <c r="K18" i="11"/>
  <c r="L18" i="11" s="1"/>
  <c r="H13" i="6"/>
  <c r="H105" i="6"/>
  <c r="H198" i="6" s="1"/>
  <c r="C12" i="1"/>
  <c r="D12" i="1" s="1"/>
  <c r="C139" i="1"/>
  <c r="D139" i="1" s="1"/>
  <c r="E17" i="18" l="1"/>
  <c r="F16" i="18"/>
  <c r="F20" i="2"/>
  <c r="K19" i="11"/>
  <c r="L19" i="11" s="1"/>
  <c r="H106" i="6"/>
  <c r="H199" i="6" s="1"/>
  <c r="H14" i="6"/>
  <c r="C13" i="1"/>
  <c r="D13" i="1" s="1"/>
  <c r="C140" i="1"/>
  <c r="D140" i="1" s="1"/>
  <c r="E18" i="18" l="1"/>
  <c r="F17" i="18"/>
  <c r="F21" i="2"/>
  <c r="K20" i="11"/>
  <c r="L20" i="11" s="1"/>
  <c r="H107" i="6"/>
  <c r="H200" i="6" s="1"/>
  <c r="H15" i="6"/>
  <c r="C14" i="1"/>
  <c r="D14" i="1" s="1"/>
  <c r="C141" i="1"/>
  <c r="D141" i="1" s="1"/>
  <c r="F18" i="18" l="1"/>
  <c r="E19" i="18"/>
  <c r="K21" i="11"/>
  <c r="L21" i="11" s="1"/>
  <c r="F22" i="2"/>
  <c r="H108" i="6"/>
  <c r="H201" i="6" s="1"/>
  <c r="H16" i="6"/>
  <c r="C15" i="1"/>
  <c r="D15" i="1" s="1"/>
  <c r="C142" i="1"/>
  <c r="D142" i="1" s="1"/>
  <c r="E20" i="18" l="1"/>
  <c r="F19" i="18"/>
  <c r="K22" i="11"/>
  <c r="L22" i="11" s="1"/>
  <c r="F23" i="2"/>
  <c r="H109" i="6"/>
  <c r="H17" i="6"/>
  <c r="C16" i="1"/>
  <c r="D16" i="1" s="1"/>
  <c r="C143" i="1"/>
  <c r="D143" i="1" s="1"/>
  <c r="F20" i="18" l="1"/>
  <c r="E21" i="18"/>
  <c r="F24" i="2"/>
  <c r="K23" i="11"/>
  <c r="L23" i="11" s="1"/>
  <c r="H110" i="6"/>
  <c r="H18" i="6"/>
  <c r="C17" i="1"/>
  <c r="D17" i="1" s="1"/>
  <c r="C144" i="1"/>
  <c r="D144" i="1" s="1"/>
  <c r="E22" i="18" l="1"/>
  <c r="F21" i="18"/>
  <c r="F25" i="2"/>
  <c r="K24" i="11"/>
  <c r="L24" i="11" s="1"/>
  <c r="H111" i="6"/>
  <c r="H19" i="6"/>
  <c r="C18" i="1"/>
  <c r="D18" i="1" s="1"/>
  <c r="C145" i="1"/>
  <c r="D145" i="1" s="1"/>
  <c r="F22" i="18" l="1"/>
  <c r="E23" i="18"/>
  <c r="K25" i="11"/>
  <c r="L25" i="11" s="1"/>
  <c r="F26" i="2"/>
  <c r="H112" i="6"/>
  <c r="H20" i="6"/>
  <c r="C19" i="1"/>
  <c r="D19" i="1" s="1"/>
  <c r="C146" i="1"/>
  <c r="D146" i="1" s="1"/>
  <c r="E24" i="18" l="1"/>
  <c r="F23" i="18"/>
  <c r="F27" i="2"/>
  <c r="K26" i="11"/>
  <c r="L26" i="11" s="1"/>
  <c r="H113" i="6"/>
  <c r="H21" i="6"/>
  <c r="C20" i="1"/>
  <c r="D20" i="1" s="1"/>
  <c r="C147" i="1"/>
  <c r="D147" i="1" s="1"/>
  <c r="E25" i="18" l="1"/>
  <c r="F24" i="18"/>
  <c r="F28" i="2"/>
  <c r="K27" i="11"/>
  <c r="L27" i="11" s="1"/>
  <c r="H114" i="6"/>
  <c r="H22" i="6"/>
  <c r="C21" i="1"/>
  <c r="D21" i="1" s="1"/>
  <c r="C148" i="1"/>
  <c r="D148" i="1" s="1"/>
  <c r="E26" i="18" l="1"/>
  <c r="F25" i="18"/>
  <c r="F29" i="2"/>
  <c r="K28" i="11"/>
  <c r="L28" i="11" s="1"/>
  <c r="H115" i="6"/>
  <c r="H23" i="6"/>
  <c r="C22" i="1"/>
  <c r="D22" i="1" s="1"/>
  <c r="C149" i="1"/>
  <c r="D149" i="1" s="1"/>
  <c r="F26" i="18" l="1"/>
  <c r="E27" i="18"/>
  <c r="K29" i="11"/>
  <c r="L29" i="11" s="1"/>
  <c r="F30" i="2"/>
  <c r="H116" i="6"/>
  <c r="H24" i="6"/>
  <c r="C23" i="1"/>
  <c r="D23" i="1" s="1"/>
  <c r="C150" i="1"/>
  <c r="D150" i="1" s="1"/>
  <c r="E28" i="18" l="1"/>
  <c r="F27" i="18"/>
  <c r="K30" i="11"/>
  <c r="L30" i="11" s="1"/>
  <c r="F31" i="2"/>
  <c r="H117" i="6"/>
  <c r="H25" i="6"/>
  <c r="C24" i="1"/>
  <c r="D24" i="1" s="1"/>
  <c r="C151" i="1"/>
  <c r="D151" i="1" s="1"/>
  <c r="F28" i="18" l="1"/>
  <c r="E29" i="18"/>
  <c r="F32" i="2"/>
  <c r="K31" i="11"/>
  <c r="L31" i="11" s="1"/>
  <c r="H118" i="6"/>
  <c r="H26" i="6"/>
  <c r="C25" i="1"/>
  <c r="D25" i="1" s="1"/>
  <c r="C152" i="1"/>
  <c r="D152" i="1" s="1"/>
  <c r="E30" i="18" l="1"/>
  <c r="F29" i="18"/>
  <c r="F33" i="2"/>
  <c r="K32" i="11"/>
  <c r="L32" i="11" s="1"/>
  <c r="H119" i="6"/>
  <c r="H27" i="6"/>
  <c r="C26" i="1"/>
  <c r="D26" i="1" s="1"/>
  <c r="C153" i="1"/>
  <c r="D153" i="1" s="1"/>
  <c r="F30" i="18" l="1"/>
  <c r="E31" i="18"/>
  <c r="K33" i="11"/>
  <c r="L33" i="11" s="1"/>
  <c r="F34" i="2"/>
  <c r="H28" i="6"/>
  <c r="H120" i="6"/>
  <c r="C27" i="1"/>
  <c r="D27" i="1" s="1"/>
  <c r="C154" i="1"/>
  <c r="D154" i="1" s="1"/>
  <c r="E32" i="18" l="1"/>
  <c r="F31" i="18"/>
  <c r="F35" i="2"/>
  <c r="K34" i="11"/>
  <c r="L34" i="11" s="1"/>
  <c r="H121" i="6"/>
  <c r="H29" i="6"/>
  <c r="C28" i="1"/>
  <c r="D28" i="1" s="1"/>
  <c r="C155" i="1"/>
  <c r="D155" i="1" s="1"/>
  <c r="E33" i="18" l="1"/>
  <c r="F32" i="18"/>
  <c r="F36" i="2"/>
  <c r="K35" i="11"/>
  <c r="L35" i="11" s="1"/>
  <c r="H122" i="6"/>
  <c r="H30" i="6"/>
  <c r="C29" i="1"/>
  <c r="D29" i="1" s="1"/>
  <c r="C156" i="1"/>
  <c r="D156" i="1" s="1"/>
  <c r="E34" i="18" l="1"/>
  <c r="F33" i="18"/>
  <c r="F37" i="2"/>
  <c r="K36" i="11"/>
  <c r="L36" i="11" s="1"/>
  <c r="H123" i="6"/>
  <c r="H31" i="6"/>
  <c r="C30" i="1"/>
  <c r="D30" i="1" s="1"/>
  <c r="C157" i="1"/>
  <c r="D157" i="1" s="1"/>
  <c r="F34" i="18" l="1"/>
  <c r="E35" i="18"/>
  <c r="K37" i="11"/>
  <c r="L37" i="11" s="1"/>
  <c r="F38" i="2"/>
  <c r="H124" i="6"/>
  <c r="H32" i="6"/>
  <c r="C31" i="1"/>
  <c r="D31" i="1" s="1"/>
  <c r="C158" i="1"/>
  <c r="D158" i="1" s="1"/>
  <c r="E36" i="18" l="1"/>
  <c r="F35" i="18"/>
  <c r="K38" i="11"/>
  <c r="L38" i="11" s="1"/>
  <c r="F39" i="2"/>
  <c r="H125" i="6"/>
  <c r="H33" i="6"/>
  <c r="C32" i="1"/>
  <c r="D32" i="1" s="1"/>
  <c r="C159" i="1"/>
  <c r="D159" i="1" s="1"/>
  <c r="F36" i="18" l="1"/>
  <c r="E37" i="18"/>
  <c r="F40" i="2"/>
  <c r="K39" i="11"/>
  <c r="L39" i="11" s="1"/>
  <c r="H34" i="6"/>
  <c r="H126" i="6"/>
  <c r="C33" i="1"/>
  <c r="D33" i="1" s="1"/>
  <c r="C160" i="1"/>
  <c r="D160" i="1" s="1"/>
  <c r="E38" i="18" l="1"/>
  <c r="F37" i="18"/>
  <c r="F41" i="2"/>
  <c r="K40" i="11"/>
  <c r="L40" i="11" s="1"/>
  <c r="H127" i="6"/>
  <c r="H35" i="6"/>
  <c r="C34" i="1"/>
  <c r="D34" i="1" s="1"/>
  <c r="C161" i="1"/>
  <c r="D161" i="1" s="1"/>
  <c r="F38" i="18" l="1"/>
  <c r="E39" i="18"/>
  <c r="K41" i="11"/>
  <c r="L41" i="11" s="1"/>
  <c r="F42" i="2"/>
  <c r="H36" i="6"/>
  <c r="H128" i="6"/>
  <c r="C35" i="1"/>
  <c r="D35" i="1" s="1"/>
  <c r="C162" i="1"/>
  <c r="D162" i="1" s="1"/>
  <c r="E40" i="18" l="1"/>
  <c r="F39" i="18"/>
  <c r="F43" i="2"/>
  <c r="K42" i="11"/>
  <c r="L42" i="11" s="1"/>
  <c r="H37" i="6"/>
  <c r="H129" i="6"/>
  <c r="C36" i="1"/>
  <c r="D36" i="1" s="1"/>
  <c r="C163" i="1"/>
  <c r="D163" i="1" s="1"/>
  <c r="E41" i="18" l="1"/>
  <c r="F40" i="18"/>
  <c r="F44" i="2"/>
  <c r="K43" i="11"/>
  <c r="L43" i="11" s="1"/>
  <c r="H130" i="6"/>
  <c r="H38" i="6"/>
  <c r="C37" i="1"/>
  <c r="D37" i="1" s="1"/>
  <c r="C164" i="1"/>
  <c r="D164" i="1" s="1"/>
  <c r="E42" i="18" l="1"/>
  <c r="F41" i="18"/>
  <c r="F45" i="2"/>
  <c r="K44" i="11"/>
  <c r="L44" i="11" s="1"/>
  <c r="H39" i="6"/>
  <c r="H131" i="6"/>
  <c r="C38" i="1"/>
  <c r="D38" i="1" s="1"/>
  <c r="C165" i="1"/>
  <c r="D165" i="1" s="1"/>
  <c r="F42" i="18" l="1"/>
  <c r="E43" i="18"/>
  <c r="K45" i="11"/>
  <c r="L45" i="11" s="1"/>
  <c r="F46" i="2"/>
  <c r="H132" i="6"/>
  <c r="H40" i="6"/>
  <c r="C39" i="1"/>
  <c r="D39" i="1" s="1"/>
  <c r="C166" i="1"/>
  <c r="D166" i="1" s="1"/>
  <c r="E44" i="18" l="1"/>
  <c r="F43" i="18"/>
  <c r="K46" i="11"/>
  <c r="L46" i="11" s="1"/>
  <c r="F47" i="2"/>
  <c r="H133" i="6"/>
  <c r="H41" i="6"/>
  <c r="C40" i="1"/>
  <c r="D40" i="1" s="1"/>
  <c r="C167" i="1"/>
  <c r="D167" i="1" s="1"/>
  <c r="F44" i="18" l="1"/>
  <c r="E45" i="18"/>
  <c r="F48" i="2"/>
  <c r="K47" i="11"/>
  <c r="L47" i="11" s="1"/>
  <c r="H42" i="6"/>
  <c r="H134" i="6"/>
  <c r="C41" i="1"/>
  <c r="D41" i="1" s="1"/>
  <c r="C168" i="1"/>
  <c r="D168" i="1" s="1"/>
  <c r="E46" i="18" l="1"/>
  <c r="F45" i="18"/>
  <c r="F49" i="2"/>
  <c r="K48" i="11"/>
  <c r="L48" i="11" s="1"/>
  <c r="H135" i="6"/>
  <c r="H43" i="6"/>
  <c r="C42" i="1"/>
  <c r="D42" i="1" s="1"/>
  <c r="C169" i="1"/>
  <c r="D169" i="1" s="1"/>
  <c r="F46" i="18" l="1"/>
  <c r="E47" i="18"/>
  <c r="K49" i="11"/>
  <c r="L49" i="11" s="1"/>
  <c r="F50" i="2"/>
  <c r="H136" i="6"/>
  <c r="H44" i="6"/>
  <c r="C43" i="1"/>
  <c r="D43" i="1" s="1"/>
  <c r="C170" i="1"/>
  <c r="D170" i="1" s="1"/>
  <c r="E48" i="18" l="1"/>
  <c r="F47" i="18"/>
  <c r="F51" i="2"/>
  <c r="K50" i="11"/>
  <c r="L50" i="11" s="1"/>
  <c r="H137" i="6"/>
  <c r="H45" i="6"/>
  <c r="C44" i="1"/>
  <c r="D44" i="1" s="1"/>
  <c r="C171" i="1"/>
  <c r="D171" i="1" s="1"/>
  <c r="E49" i="18" l="1"/>
  <c r="F48" i="18"/>
  <c r="F52" i="2"/>
  <c r="K51" i="11"/>
  <c r="L51" i="11" s="1"/>
  <c r="H138" i="6"/>
  <c r="H46" i="6"/>
  <c r="C45" i="1"/>
  <c r="D45" i="1" s="1"/>
  <c r="C172" i="1"/>
  <c r="D172" i="1" s="1"/>
  <c r="E50" i="18" l="1"/>
  <c r="F49" i="18"/>
  <c r="F53" i="2"/>
  <c r="K52" i="11"/>
  <c r="L52" i="11" s="1"/>
  <c r="H47" i="6"/>
  <c r="H139" i="6"/>
  <c r="C46" i="1"/>
  <c r="D46" i="1" s="1"/>
  <c r="C173" i="1"/>
  <c r="D173" i="1" s="1"/>
  <c r="F50" i="18" l="1"/>
  <c r="E51" i="18"/>
  <c r="K53" i="11"/>
  <c r="L53" i="11" s="1"/>
  <c r="F54" i="2"/>
  <c r="H140" i="6"/>
  <c r="H48" i="6"/>
  <c r="C47" i="1"/>
  <c r="D47" i="1" s="1"/>
  <c r="C174" i="1"/>
  <c r="D174" i="1" s="1"/>
  <c r="E52" i="18" l="1"/>
  <c r="F51" i="18"/>
  <c r="K54" i="11"/>
  <c r="L54" i="11" s="1"/>
  <c r="F55" i="2"/>
  <c r="H49" i="6"/>
  <c r="H141" i="6"/>
  <c r="C48" i="1"/>
  <c r="D48" i="1" s="1"/>
  <c r="C175" i="1"/>
  <c r="D175" i="1" s="1"/>
  <c r="F52" i="18" l="1"/>
  <c r="E53" i="18"/>
  <c r="F56" i="2"/>
  <c r="K55" i="11"/>
  <c r="L55" i="11" s="1"/>
  <c r="H50" i="6"/>
  <c r="H142" i="6"/>
  <c r="C49" i="1"/>
  <c r="D49" i="1" s="1"/>
  <c r="C176" i="1"/>
  <c r="D176" i="1" s="1"/>
  <c r="E54" i="18" l="1"/>
  <c r="F53" i="18"/>
  <c r="F57" i="2"/>
  <c r="K56" i="11"/>
  <c r="L56" i="11" s="1"/>
  <c r="H143" i="6"/>
  <c r="H51" i="6"/>
  <c r="C50" i="1"/>
  <c r="D50" i="1" s="1"/>
  <c r="C177" i="1"/>
  <c r="D177" i="1" s="1"/>
  <c r="F54" i="18" l="1"/>
  <c r="E55" i="18"/>
  <c r="K57" i="11"/>
  <c r="L57" i="11" s="1"/>
  <c r="F58" i="2"/>
  <c r="H52" i="6"/>
  <c r="H144" i="6"/>
  <c r="C51" i="1"/>
  <c r="D51" i="1" s="1"/>
  <c r="C178" i="1"/>
  <c r="D178" i="1" s="1"/>
  <c r="E56" i="18" l="1"/>
  <c r="F55" i="18"/>
  <c r="F59" i="2"/>
  <c r="K58" i="11"/>
  <c r="L58" i="11" s="1"/>
  <c r="H145" i="6"/>
  <c r="H53" i="6"/>
  <c r="C52" i="1"/>
  <c r="D52" i="1" s="1"/>
  <c r="C179" i="1"/>
  <c r="D179" i="1" s="1"/>
  <c r="E57" i="18" l="1"/>
  <c r="F56" i="18"/>
  <c r="F60" i="2"/>
  <c r="K59" i="11"/>
  <c r="L59" i="11" s="1"/>
  <c r="H146" i="6"/>
  <c r="H54" i="6"/>
  <c r="C53" i="1"/>
  <c r="D53" i="1" s="1"/>
  <c r="C180" i="1"/>
  <c r="D180" i="1" s="1"/>
  <c r="E58" i="18" l="1"/>
  <c r="F57" i="18"/>
  <c r="F61" i="2"/>
  <c r="K60" i="11"/>
  <c r="L60" i="11" s="1"/>
  <c r="H55" i="6"/>
  <c r="H147" i="6"/>
  <c r="C54" i="1"/>
  <c r="D54" i="1" s="1"/>
  <c r="C181" i="1"/>
  <c r="D181" i="1" s="1"/>
  <c r="F58" i="18" l="1"/>
  <c r="E59" i="18"/>
  <c r="K61" i="11"/>
  <c r="L61" i="11" s="1"/>
  <c r="F62" i="2"/>
  <c r="H56" i="6"/>
  <c r="H148" i="6"/>
  <c r="C55" i="1"/>
  <c r="D55" i="1" s="1"/>
  <c r="C182" i="1"/>
  <c r="D182" i="1" s="1"/>
  <c r="E60" i="18" l="1"/>
  <c r="F59" i="18"/>
  <c r="K62" i="11"/>
  <c r="L62" i="11" s="1"/>
  <c r="F63" i="2"/>
  <c r="H57" i="6"/>
  <c r="H149" i="6"/>
  <c r="C56" i="1"/>
  <c r="D56" i="1" s="1"/>
  <c r="C183" i="1"/>
  <c r="D183" i="1" s="1"/>
  <c r="F60" i="18" l="1"/>
  <c r="E61" i="18"/>
  <c r="F64" i="2"/>
  <c r="K63" i="11"/>
  <c r="L63" i="11" s="1"/>
  <c r="H58" i="6"/>
  <c r="H150" i="6"/>
  <c r="C57" i="1"/>
  <c r="D57" i="1" s="1"/>
  <c r="C184" i="1"/>
  <c r="D184" i="1" s="1"/>
  <c r="E62" i="18" l="1"/>
  <c r="F61" i="18"/>
  <c r="F65" i="2"/>
  <c r="K64" i="11"/>
  <c r="L64" i="11" s="1"/>
  <c r="H151" i="6"/>
  <c r="H59" i="6"/>
  <c r="C58" i="1"/>
  <c r="D58" i="1" s="1"/>
  <c r="C185" i="1"/>
  <c r="D185" i="1" s="1"/>
  <c r="F62" i="18" l="1"/>
  <c r="E63" i="18"/>
  <c r="K65" i="11"/>
  <c r="L65" i="11" s="1"/>
  <c r="F66" i="2"/>
  <c r="H152" i="6"/>
  <c r="H60" i="6"/>
  <c r="C59" i="1"/>
  <c r="D59" i="1" s="1"/>
  <c r="C186" i="1"/>
  <c r="D186" i="1" s="1"/>
  <c r="E64" i="18" l="1"/>
  <c r="F63" i="18"/>
  <c r="F67" i="2"/>
  <c r="K66" i="11"/>
  <c r="L66" i="11" s="1"/>
  <c r="H153" i="6"/>
  <c r="H61" i="6"/>
  <c r="C60" i="1"/>
  <c r="D60" i="1" s="1"/>
  <c r="C187" i="1"/>
  <c r="D187" i="1" s="1"/>
  <c r="E65" i="18" l="1"/>
  <c r="F64" i="18"/>
  <c r="F68" i="2"/>
  <c r="K67" i="11"/>
  <c r="L67" i="11" s="1"/>
  <c r="H154" i="6"/>
  <c r="H62" i="6"/>
  <c r="C61" i="1"/>
  <c r="D61" i="1" s="1"/>
  <c r="C188" i="1"/>
  <c r="D188" i="1" s="1"/>
  <c r="E66" i="18" l="1"/>
  <c r="F65" i="18"/>
  <c r="F69" i="2"/>
  <c r="K68" i="11"/>
  <c r="L68" i="11" s="1"/>
  <c r="H63" i="6"/>
  <c r="H155" i="6"/>
  <c r="C62" i="1"/>
  <c r="D62" i="1" s="1"/>
  <c r="C189" i="1"/>
  <c r="D189" i="1" s="1"/>
  <c r="F66" i="18" l="1"/>
  <c r="E67" i="18"/>
  <c r="K69" i="11"/>
  <c r="L69" i="11" s="1"/>
  <c r="F70" i="2"/>
  <c r="H156" i="6"/>
  <c r="H64" i="6"/>
  <c r="C63" i="1"/>
  <c r="D63" i="1" s="1"/>
  <c r="C190" i="1"/>
  <c r="D190" i="1" s="1"/>
  <c r="E68" i="18" l="1"/>
  <c r="F67" i="18"/>
  <c r="K70" i="11"/>
  <c r="L70" i="11" s="1"/>
  <c r="F71" i="2"/>
  <c r="H157" i="6"/>
  <c r="H65" i="6"/>
  <c r="C64" i="1"/>
  <c r="D64" i="1" s="1"/>
  <c r="C191" i="1"/>
  <c r="D191" i="1" s="1"/>
  <c r="F68" i="18" l="1"/>
  <c r="E69" i="18"/>
  <c r="F72" i="2"/>
  <c r="K71" i="11"/>
  <c r="L71" i="11" s="1"/>
  <c r="H66" i="6"/>
  <c r="H158" i="6"/>
  <c r="C65" i="1"/>
  <c r="D65" i="1" s="1"/>
  <c r="C192" i="1"/>
  <c r="D192" i="1" s="1"/>
  <c r="E70" i="18" l="1"/>
  <c r="F69" i="18"/>
  <c r="F73" i="2"/>
  <c r="K72" i="11"/>
  <c r="L72" i="11" s="1"/>
  <c r="H159" i="6"/>
  <c r="H67" i="6"/>
  <c r="C66" i="1"/>
  <c r="D66" i="1" s="1"/>
  <c r="C193" i="1"/>
  <c r="D193" i="1" s="1"/>
  <c r="F70" i="18" l="1"/>
  <c r="E71" i="18"/>
  <c r="K73" i="11"/>
  <c r="L73" i="11" s="1"/>
  <c r="F74" i="2"/>
  <c r="H68" i="6"/>
  <c r="H160" i="6"/>
  <c r="C67" i="1"/>
  <c r="D67" i="1" s="1"/>
  <c r="C194" i="1"/>
  <c r="D194" i="1" s="1"/>
  <c r="E72" i="18" l="1"/>
  <c r="F71" i="18"/>
  <c r="F75" i="2"/>
  <c r="K74" i="11"/>
  <c r="L74" i="11" s="1"/>
  <c r="H161" i="6"/>
  <c r="H69" i="6"/>
  <c r="C68" i="1"/>
  <c r="D68" i="1" s="1"/>
  <c r="C195" i="1"/>
  <c r="D195" i="1" s="1"/>
  <c r="E73" i="18" l="1"/>
  <c r="F72" i="18"/>
  <c r="F76" i="2"/>
  <c r="K75" i="11"/>
  <c r="L75" i="11" s="1"/>
  <c r="H162" i="6"/>
  <c r="H70" i="6"/>
  <c r="C69" i="1"/>
  <c r="D69" i="1" s="1"/>
  <c r="C196" i="1"/>
  <c r="D196" i="1" s="1"/>
  <c r="E74" i="18" l="1"/>
  <c r="F73" i="18"/>
  <c r="F77" i="2"/>
  <c r="K76" i="11"/>
  <c r="L76" i="11" s="1"/>
  <c r="H71" i="6"/>
  <c r="H163" i="6"/>
  <c r="C70" i="1"/>
  <c r="D70" i="1" s="1"/>
  <c r="C197" i="1"/>
  <c r="D197" i="1" s="1"/>
  <c r="F74" i="18" l="1"/>
  <c r="E75" i="18"/>
  <c r="K77" i="11"/>
  <c r="L77" i="11" s="1"/>
  <c r="F78" i="2"/>
  <c r="H164" i="6"/>
  <c r="H72" i="6"/>
  <c r="C71" i="1"/>
  <c r="D71" i="1" s="1"/>
  <c r="C198" i="1"/>
  <c r="D198" i="1" s="1"/>
  <c r="E76" i="18" l="1"/>
  <c r="F75" i="18"/>
  <c r="K78" i="11"/>
  <c r="L78" i="11" s="1"/>
  <c r="F79" i="2"/>
  <c r="H165" i="6"/>
  <c r="H73" i="6"/>
  <c r="C72" i="1"/>
  <c r="D72" i="1" s="1"/>
  <c r="C199" i="1"/>
  <c r="D199" i="1" s="1"/>
  <c r="F76" i="18" l="1"/>
  <c r="E77" i="18"/>
  <c r="F80" i="2"/>
  <c r="K79" i="11"/>
  <c r="L79" i="11" s="1"/>
  <c r="H74" i="6"/>
  <c r="H166" i="6"/>
  <c r="C73" i="1"/>
  <c r="D73" i="1" s="1"/>
  <c r="C200" i="1"/>
  <c r="D200" i="1" s="1"/>
  <c r="E78" i="18" l="1"/>
  <c r="F77" i="18"/>
  <c r="F81" i="2"/>
  <c r="K80" i="11"/>
  <c r="L80" i="11" s="1"/>
  <c r="H167" i="6"/>
  <c r="H75" i="6"/>
  <c r="C74" i="1"/>
  <c r="C201" i="1"/>
  <c r="D201" i="1" s="1"/>
  <c r="F78" i="18" l="1"/>
  <c r="E79" i="18"/>
  <c r="K81" i="11"/>
  <c r="L81" i="11" s="1"/>
  <c r="F82" i="2"/>
  <c r="H168" i="6"/>
  <c r="H76" i="6"/>
  <c r="C75" i="1"/>
  <c r="D74" i="1"/>
  <c r="E80" i="18" l="1"/>
  <c r="F79" i="18"/>
  <c r="F83" i="2"/>
  <c r="K82" i="11"/>
  <c r="L82" i="11" s="1"/>
  <c r="H169" i="6"/>
  <c r="H77" i="6"/>
  <c r="C76" i="1"/>
  <c r="D75" i="1"/>
  <c r="E81" i="18" l="1"/>
  <c r="F80" i="18"/>
  <c r="F84" i="2"/>
  <c r="K83" i="11"/>
  <c r="L83" i="11" s="1"/>
  <c r="H170" i="6"/>
  <c r="H78" i="6"/>
  <c r="C77" i="1"/>
  <c r="D76" i="1"/>
  <c r="E82" i="18" l="1"/>
  <c r="F81" i="18"/>
  <c r="F85" i="2"/>
  <c r="K84" i="11"/>
  <c r="L84" i="11" s="1"/>
  <c r="H79" i="6"/>
  <c r="H171" i="6"/>
  <c r="C78" i="1"/>
  <c r="D77" i="1"/>
  <c r="F82" i="18" l="1"/>
  <c r="E83" i="18"/>
  <c r="K85" i="11"/>
  <c r="L85" i="11" s="1"/>
  <c r="F86" i="2"/>
  <c r="H80" i="6"/>
  <c r="H172" i="6"/>
  <c r="C79" i="1"/>
  <c r="D78" i="1"/>
  <c r="E84" i="18" l="1"/>
  <c r="F83" i="18"/>
  <c r="K86" i="11"/>
  <c r="L86" i="11" s="1"/>
  <c r="F87" i="2"/>
  <c r="H173" i="6"/>
  <c r="H81" i="6"/>
  <c r="C80" i="1"/>
  <c r="D79" i="1"/>
  <c r="F84" i="18" l="1"/>
  <c r="E85" i="18"/>
  <c r="F88" i="2"/>
  <c r="K87" i="11"/>
  <c r="L87" i="11" s="1"/>
  <c r="H82" i="6"/>
  <c r="H174" i="6"/>
  <c r="C81" i="1"/>
  <c r="D80" i="1"/>
  <c r="E86" i="18" l="1"/>
  <c r="F85" i="18"/>
  <c r="F89" i="2"/>
  <c r="K88" i="11"/>
  <c r="L88" i="11" s="1"/>
  <c r="H175" i="6"/>
  <c r="H83" i="6"/>
  <c r="C82" i="1"/>
  <c r="D81" i="1"/>
  <c r="F86" i="18" l="1"/>
  <c r="E87" i="18"/>
  <c r="F90" i="2"/>
  <c r="K89" i="11"/>
  <c r="L89" i="11" s="1"/>
  <c r="H176" i="6"/>
  <c r="H84" i="6"/>
  <c r="C83" i="1"/>
  <c r="D82" i="1"/>
  <c r="E88" i="18" l="1"/>
  <c r="F87" i="18"/>
  <c r="F91" i="2"/>
  <c r="K90" i="11"/>
  <c r="L90" i="11" s="1"/>
  <c r="H177" i="6"/>
  <c r="H85" i="6"/>
  <c r="C84" i="1"/>
  <c r="D83" i="1"/>
  <c r="E89" i="18" l="1"/>
  <c r="F88" i="18"/>
  <c r="F92" i="2"/>
  <c r="K91" i="11"/>
  <c r="L91" i="11" s="1"/>
  <c r="H178" i="6"/>
  <c r="H86" i="6"/>
  <c r="C85" i="1"/>
  <c r="D84" i="1"/>
  <c r="E90" i="18" l="1"/>
  <c r="F89" i="18"/>
  <c r="F93" i="2"/>
  <c r="K92" i="11"/>
  <c r="L92" i="11" s="1"/>
  <c r="H87" i="6"/>
  <c r="H179" i="6"/>
  <c r="C86" i="1"/>
  <c r="D85" i="1"/>
  <c r="F90" i="18" l="1"/>
  <c r="E91" i="18"/>
  <c r="F94" i="2"/>
  <c r="K93" i="11"/>
  <c r="L93" i="11" s="1"/>
  <c r="H180" i="6"/>
  <c r="H88" i="6"/>
  <c r="C87" i="1"/>
  <c r="D86" i="1"/>
  <c r="E92" i="18" l="1"/>
  <c r="F91" i="18"/>
  <c r="K94" i="11"/>
  <c r="L94" i="11" s="1"/>
  <c r="F95" i="2"/>
  <c r="H89" i="6"/>
  <c r="H181" i="6"/>
  <c r="C88" i="1"/>
  <c r="D87" i="1"/>
  <c r="F92" i="18" l="1"/>
  <c r="E93" i="18"/>
  <c r="F96" i="2"/>
  <c r="K95" i="11"/>
  <c r="L95" i="11" s="1"/>
  <c r="H90" i="6"/>
  <c r="H182" i="6"/>
  <c r="C89" i="1"/>
  <c r="D88" i="1"/>
  <c r="E94" i="18" l="1"/>
  <c r="F93" i="18"/>
  <c r="F97" i="2"/>
  <c r="K96" i="11"/>
  <c r="L96" i="11" s="1"/>
  <c r="H183" i="6"/>
  <c r="H91" i="6"/>
  <c r="C90" i="1"/>
  <c r="D89" i="1"/>
  <c r="F94" i="18" l="1"/>
  <c r="E95" i="18"/>
  <c r="F98" i="2"/>
  <c r="K97" i="11"/>
  <c r="L97" i="11" s="1"/>
  <c r="H92" i="6"/>
  <c r="H184" i="6"/>
  <c r="C91" i="1"/>
  <c r="D90" i="1"/>
  <c r="E96" i="18" l="1"/>
  <c r="F95" i="18"/>
  <c r="F99" i="2"/>
  <c r="K98" i="11"/>
  <c r="L98" i="11" s="1"/>
  <c r="H185" i="6"/>
  <c r="H93" i="6"/>
  <c r="C92" i="1"/>
  <c r="D91" i="1"/>
  <c r="E97" i="18" l="1"/>
  <c r="F96" i="18"/>
  <c r="F100" i="2"/>
  <c r="K99" i="11"/>
  <c r="L99" i="11" s="1"/>
  <c r="H186" i="6"/>
  <c r="H94" i="6"/>
  <c r="H187" i="6" s="1"/>
  <c r="C93" i="1"/>
  <c r="D92" i="1"/>
  <c r="E98" i="18" l="1"/>
  <c r="F97" i="18"/>
  <c r="F101" i="2"/>
  <c r="K100" i="11"/>
  <c r="L100" i="11" s="1"/>
  <c r="C94" i="1"/>
  <c r="D93" i="1"/>
  <c r="F98" i="18" l="1"/>
  <c r="F102" i="2"/>
  <c r="K101" i="11"/>
  <c r="L101" i="11" s="1"/>
  <c r="C95" i="1"/>
  <c r="D94" i="1"/>
  <c r="K102" i="11" l="1"/>
  <c r="L102" i="11" s="1"/>
  <c r="F103" i="2"/>
  <c r="C96" i="1"/>
  <c r="D95" i="1"/>
  <c r="F104" i="2" l="1"/>
  <c r="K103" i="11"/>
  <c r="L103" i="11" s="1"/>
  <c r="C97" i="1"/>
  <c r="D96" i="1"/>
  <c r="F105" i="2" l="1"/>
  <c r="K104" i="11"/>
  <c r="L104" i="11" s="1"/>
  <c r="C98" i="1"/>
  <c r="D97" i="1"/>
  <c r="F106" i="2" l="1"/>
  <c r="K105" i="11"/>
  <c r="L105" i="11" s="1"/>
  <c r="C99" i="1"/>
  <c r="D98" i="1"/>
  <c r="F107" i="2" l="1"/>
  <c r="K106" i="11"/>
  <c r="L106" i="11" s="1"/>
  <c r="C100" i="1"/>
  <c r="D99" i="1"/>
  <c r="F108" i="2" l="1"/>
  <c r="K107" i="11"/>
  <c r="L107" i="11" s="1"/>
  <c r="C101" i="1"/>
  <c r="D100" i="1"/>
  <c r="F109" i="2" l="1"/>
  <c r="K108" i="11"/>
  <c r="L108" i="11" s="1"/>
  <c r="C102" i="1"/>
  <c r="D101" i="1"/>
  <c r="F110" i="2" l="1"/>
  <c r="K109" i="11"/>
  <c r="L109" i="11" s="1"/>
  <c r="C103" i="1"/>
  <c r="D102" i="1"/>
  <c r="K110" i="11" l="1"/>
  <c r="L110" i="11" s="1"/>
  <c r="F111" i="2"/>
  <c r="C104" i="1"/>
  <c r="D103" i="1"/>
  <c r="F112" i="2" l="1"/>
  <c r="K111" i="11"/>
  <c r="L111" i="11" s="1"/>
  <c r="C105" i="1"/>
  <c r="D104" i="1"/>
  <c r="F113" i="2" l="1"/>
  <c r="K112" i="11"/>
  <c r="L112" i="11" s="1"/>
  <c r="C106" i="1"/>
  <c r="D105" i="1"/>
  <c r="F114" i="2" l="1"/>
  <c r="K113" i="11"/>
  <c r="L113" i="11" s="1"/>
  <c r="C107" i="1"/>
  <c r="D106" i="1"/>
  <c r="F115" i="2" l="1"/>
  <c r="K114" i="11"/>
  <c r="L114" i="11" s="1"/>
  <c r="C108" i="1"/>
  <c r="D107" i="1"/>
  <c r="F116" i="2" l="1"/>
  <c r="K115" i="11"/>
  <c r="L115" i="11" s="1"/>
  <c r="C109" i="1"/>
  <c r="D108" i="1"/>
  <c r="F117" i="2" l="1"/>
  <c r="K116" i="11"/>
  <c r="L116" i="11" s="1"/>
  <c r="C110" i="1"/>
  <c r="D109" i="1"/>
  <c r="F118" i="2" l="1"/>
  <c r="K117" i="11"/>
  <c r="L117" i="11" s="1"/>
  <c r="C111" i="1"/>
  <c r="D110" i="1"/>
  <c r="K118" i="11" l="1"/>
  <c r="L118" i="11" s="1"/>
  <c r="F119" i="2"/>
  <c r="C112" i="1"/>
  <c r="D111" i="1"/>
  <c r="F120" i="2" l="1"/>
  <c r="K119" i="11"/>
  <c r="L119" i="11" s="1"/>
  <c r="C113" i="1"/>
  <c r="D112" i="1"/>
  <c r="F121" i="2" l="1"/>
  <c r="K120" i="11"/>
  <c r="L120" i="11" s="1"/>
  <c r="C114" i="1"/>
  <c r="D113" i="1"/>
  <c r="F122" i="2" l="1"/>
  <c r="K121" i="11"/>
  <c r="L121" i="11" s="1"/>
  <c r="C115" i="1"/>
  <c r="D114" i="1"/>
  <c r="F123" i="2" l="1"/>
  <c r="K122" i="11"/>
  <c r="L122" i="11" s="1"/>
  <c r="C116" i="1"/>
  <c r="D115" i="1"/>
  <c r="F124" i="2" l="1"/>
  <c r="K123" i="11"/>
  <c r="L123" i="11" s="1"/>
  <c r="C117" i="1"/>
  <c r="D116" i="1"/>
  <c r="F125" i="2" l="1"/>
  <c r="K124" i="11"/>
  <c r="L124" i="11" s="1"/>
  <c r="C118" i="1"/>
  <c r="D117" i="1"/>
  <c r="F126" i="2" l="1"/>
  <c r="K125" i="11"/>
  <c r="L125" i="11" s="1"/>
  <c r="C119" i="1"/>
  <c r="D118" i="1"/>
  <c r="K126" i="11" l="1"/>
  <c r="L126" i="11" s="1"/>
  <c r="F127" i="2"/>
  <c r="C120" i="1"/>
  <c r="D119" i="1"/>
  <c r="F128" i="2" l="1"/>
  <c r="K127" i="11"/>
  <c r="L127" i="11" s="1"/>
  <c r="C121" i="1"/>
  <c r="D120" i="1"/>
  <c r="F129" i="2" l="1"/>
  <c r="K128" i="11"/>
  <c r="L128" i="11" s="1"/>
  <c r="C122" i="1"/>
  <c r="D121" i="1"/>
  <c r="F130" i="2" l="1"/>
  <c r="K129" i="11"/>
  <c r="L129" i="11" s="1"/>
  <c r="C123" i="1"/>
  <c r="D122" i="1"/>
  <c r="F131" i="2" l="1"/>
  <c r="K130" i="11"/>
  <c r="L130" i="11" s="1"/>
  <c r="C124" i="1"/>
  <c r="D123" i="1"/>
  <c r="F132" i="2" l="1"/>
  <c r="K131" i="11"/>
  <c r="L131" i="11" s="1"/>
  <c r="C125" i="1"/>
  <c r="D124" i="1"/>
  <c r="F133" i="2" l="1"/>
  <c r="K132" i="11"/>
  <c r="L132" i="11" s="1"/>
  <c r="C126" i="1"/>
  <c r="D125" i="1"/>
  <c r="F134" i="2" l="1"/>
  <c r="K133" i="11"/>
  <c r="L133" i="11" s="1"/>
  <c r="C127" i="1"/>
  <c r="D126" i="1"/>
  <c r="K134" i="11" l="1"/>
  <c r="L134" i="11" s="1"/>
  <c r="F135" i="2"/>
  <c r="C128" i="1"/>
  <c r="D127" i="1"/>
  <c r="F136" i="2" l="1"/>
  <c r="K135" i="11"/>
  <c r="L135" i="11" s="1"/>
  <c r="C129" i="1"/>
  <c r="D129" i="1" s="1"/>
  <c r="D128" i="1"/>
  <c r="F137" i="2" l="1"/>
  <c r="K136" i="11"/>
  <c r="L136" i="11" s="1"/>
  <c r="F138" i="2" l="1"/>
  <c r="K137" i="11"/>
  <c r="L137" i="11" s="1"/>
  <c r="F139" i="2" l="1"/>
  <c r="K138" i="11"/>
  <c r="L138" i="11" s="1"/>
  <c r="F140" i="2" l="1"/>
  <c r="K139" i="11"/>
  <c r="L139" i="11" s="1"/>
  <c r="F141" i="2" l="1"/>
  <c r="K140" i="11"/>
  <c r="L140" i="11" s="1"/>
  <c r="F142" i="2" l="1"/>
  <c r="K141" i="11"/>
  <c r="L141" i="11" s="1"/>
  <c r="K142" i="11" l="1"/>
  <c r="L142" i="11" s="1"/>
  <c r="F143" i="2"/>
  <c r="F144" i="2" l="1"/>
  <c r="K143" i="11"/>
  <c r="L143" i="11" s="1"/>
  <c r="F145" i="2" l="1"/>
  <c r="K144" i="11"/>
  <c r="L144" i="11" s="1"/>
  <c r="F146" i="2" l="1"/>
  <c r="K145" i="11"/>
  <c r="L145" i="11" s="1"/>
  <c r="F147" i="2" l="1"/>
  <c r="K146" i="11"/>
  <c r="L146" i="11" s="1"/>
  <c r="F148" i="2" l="1"/>
  <c r="K147" i="11"/>
  <c r="L147" i="11" s="1"/>
  <c r="F149" i="2" l="1"/>
  <c r="K148" i="11"/>
  <c r="L148" i="11" s="1"/>
  <c r="F150" i="2" l="1"/>
  <c r="K149" i="11"/>
  <c r="L149" i="11" s="1"/>
  <c r="K150" i="11" l="1"/>
  <c r="L150" i="11" s="1"/>
  <c r="F151" i="2"/>
  <c r="F152" i="2" l="1"/>
  <c r="K151" i="11"/>
  <c r="L151" i="11" s="1"/>
  <c r="F153" i="2" l="1"/>
  <c r="K152" i="11"/>
  <c r="L152" i="11" s="1"/>
  <c r="F154" i="2" l="1"/>
  <c r="K153" i="11"/>
  <c r="L153" i="11" s="1"/>
  <c r="F155" i="2" l="1"/>
  <c r="K154" i="11"/>
  <c r="L154" i="11" s="1"/>
  <c r="F156" i="2" l="1"/>
  <c r="K155" i="11"/>
  <c r="L155" i="11" s="1"/>
  <c r="F157" i="2" l="1"/>
  <c r="K156" i="11"/>
  <c r="L156" i="11" s="1"/>
  <c r="F158" i="2" l="1"/>
  <c r="K157" i="11"/>
  <c r="L157" i="11" s="1"/>
  <c r="K158" i="11" l="1"/>
  <c r="L158" i="11" s="1"/>
  <c r="F159" i="2"/>
  <c r="F160" i="2" l="1"/>
  <c r="K159" i="11"/>
  <c r="L159" i="11" s="1"/>
  <c r="F161" i="2" l="1"/>
  <c r="K160" i="11"/>
  <c r="L160" i="11" s="1"/>
  <c r="F162" i="2" l="1"/>
  <c r="K161" i="11"/>
  <c r="L161" i="11" s="1"/>
  <c r="F163" i="2" l="1"/>
  <c r="K162" i="11"/>
  <c r="L162" i="11" s="1"/>
  <c r="F164" i="2" l="1"/>
  <c r="K163" i="11"/>
  <c r="L163" i="11" s="1"/>
  <c r="F165" i="2" l="1"/>
  <c r="K164" i="11"/>
  <c r="L164" i="11" s="1"/>
  <c r="F166" i="2" l="1"/>
  <c r="K165" i="11"/>
  <c r="L165" i="11" s="1"/>
  <c r="F167" i="2" l="1"/>
  <c r="K166" i="11"/>
  <c r="L166" i="11" s="1"/>
  <c r="F168" i="2" l="1"/>
  <c r="K167" i="11"/>
  <c r="L167" i="11" s="1"/>
  <c r="F169" i="2" l="1"/>
  <c r="K168" i="11"/>
  <c r="L168" i="11" s="1"/>
  <c r="F170" i="2" l="1"/>
  <c r="K169" i="11"/>
  <c r="L169" i="11" s="1"/>
  <c r="F171" i="2" l="1"/>
  <c r="K170" i="11"/>
  <c r="L170" i="11" s="1"/>
  <c r="F172" i="2" l="1"/>
  <c r="K171" i="11"/>
  <c r="L171" i="11" s="1"/>
  <c r="F173" i="2" l="1"/>
  <c r="K172" i="11"/>
  <c r="L172" i="11" s="1"/>
  <c r="F174" i="2" l="1"/>
  <c r="K173" i="11"/>
  <c r="L173" i="11" s="1"/>
  <c r="F175" i="2" l="1"/>
  <c r="K174" i="11"/>
  <c r="L174" i="11" s="1"/>
  <c r="F176" i="2" l="1"/>
  <c r="K175" i="11"/>
  <c r="L175" i="11" s="1"/>
  <c r="F177" i="2" l="1"/>
  <c r="K176" i="11"/>
  <c r="L176" i="11" s="1"/>
  <c r="F178" i="2" l="1"/>
  <c r="K177" i="11"/>
  <c r="L177" i="11" s="1"/>
  <c r="F179" i="2" l="1"/>
  <c r="K178" i="11"/>
  <c r="L178" i="11" s="1"/>
  <c r="F180" i="2" l="1"/>
  <c r="K179" i="11"/>
  <c r="L179" i="11" s="1"/>
  <c r="F181" i="2" l="1"/>
  <c r="K180" i="11"/>
  <c r="L180" i="11" s="1"/>
  <c r="F182" i="2" l="1"/>
  <c r="K181" i="11"/>
  <c r="L181" i="11" s="1"/>
  <c r="F183" i="2" l="1"/>
  <c r="K182" i="11"/>
  <c r="L182" i="11" s="1"/>
  <c r="F184" i="2" l="1"/>
  <c r="K183" i="11"/>
  <c r="L183" i="11" s="1"/>
  <c r="F185" i="2" l="1"/>
  <c r="K184" i="11"/>
  <c r="L184" i="11" s="1"/>
  <c r="F186" i="2" l="1"/>
  <c r="K185" i="11"/>
  <c r="L185" i="11" s="1"/>
  <c r="F187" i="2" l="1"/>
  <c r="K186" i="11"/>
  <c r="L186" i="11" s="1"/>
  <c r="F188" i="2" l="1"/>
  <c r="K187" i="11"/>
  <c r="L187" i="11" s="1"/>
  <c r="F189" i="2" l="1"/>
  <c r="K188" i="11"/>
  <c r="L188" i="11" s="1"/>
  <c r="F190" i="2" l="1"/>
  <c r="K189" i="11"/>
  <c r="L189" i="11" s="1"/>
  <c r="F191" i="2" l="1"/>
  <c r="K190" i="11"/>
  <c r="L190" i="11" s="1"/>
  <c r="F192" i="2" l="1"/>
  <c r="K191" i="11"/>
  <c r="L191" i="11" s="1"/>
  <c r="F193" i="2" l="1"/>
  <c r="K192" i="11"/>
  <c r="L192" i="11" s="1"/>
  <c r="F194" i="2" l="1"/>
  <c r="K193" i="11"/>
  <c r="L193" i="11" s="1"/>
  <c r="F195" i="2" l="1"/>
  <c r="K194" i="11"/>
  <c r="L194" i="11" s="1"/>
  <c r="F196" i="2" l="1"/>
  <c r="K195" i="11"/>
  <c r="L195" i="11" s="1"/>
  <c r="F197" i="2" l="1"/>
  <c r="K196" i="11"/>
  <c r="L196" i="11" s="1"/>
  <c r="F198" i="2" l="1"/>
  <c r="K197" i="11"/>
  <c r="L197" i="11" s="1"/>
  <c r="F199" i="2" l="1"/>
  <c r="K198" i="11"/>
  <c r="L198" i="11" s="1"/>
  <c r="F200" i="2" l="1"/>
  <c r="K199" i="11"/>
  <c r="L199" i="11" s="1"/>
  <c r="F201" i="2" l="1"/>
  <c r="K201" i="11" s="1"/>
  <c r="L201" i="11" s="1"/>
  <c r="K200" i="11"/>
  <c r="L200" i="11" s="1"/>
  <c r="J2" i="11"/>
  <c r="P2" i="6"/>
</calcChain>
</file>

<file path=xl/sharedStrings.xml><?xml version="1.0" encoding="utf-8"?>
<sst xmlns="http://schemas.openxmlformats.org/spreadsheetml/2006/main" count="7579" uniqueCount="2760">
  <si>
    <t>first name</t>
  </si>
  <si>
    <t xml:space="preserve">last name </t>
  </si>
  <si>
    <t>date of birth</t>
  </si>
  <si>
    <t>e-mail address</t>
  </si>
  <si>
    <t>address</t>
  </si>
  <si>
    <t>Quentin</t>
  </si>
  <si>
    <t>Yuanyuan</t>
  </si>
  <si>
    <t>LI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</si>
  <si>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</si>
  <si>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</si>
  <si>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</si>
  <si>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</si>
  <si>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</si>
  <si>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</si>
  <si>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</si>
  <si>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</si>
  <si>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</si>
  <si>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</si>
  <si>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</si>
  <si>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</si>
  <si>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</si>
  <si>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</si>
  <si>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</si>
  <si>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</si>
  <si>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</si>
  <si>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</si>
  <si>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</si>
  <si>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</si>
  <si>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</si>
  <si>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</si>
  <si>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</si>
  <si>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</si>
  <si>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</si>
  <si>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</si>
  <si>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</si>
  <si>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</si>
  <si>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</si>
  <si>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</si>
  <si>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</si>
  <si>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</si>
  <si>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</si>
  <si>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</si>
  <si>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</si>
  <si>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</si>
  <si>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</si>
  <si>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</si>
  <si>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</si>
  <si>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</si>
  <si>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</si>
  <si>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</si>
  <si>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</si>
  <si>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</si>
  <si>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</si>
  <si>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</si>
  <si>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</si>
  <si>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</si>
  <si>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Free Miles</t>
  </si>
  <si>
    <t>ID Command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</si>
  <si>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</si>
  <si>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</si>
  <si>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</si>
  <si>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</si>
  <si>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</si>
  <si>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</si>
  <si>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</si>
  <si>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</si>
  <si>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</si>
  <si>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</si>
  <si>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</si>
  <si>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</si>
  <si>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</si>
  <si>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</si>
  <si>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</si>
  <si>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</si>
  <si>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</si>
  <si>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</si>
  <si>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</si>
  <si>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</si>
  <si>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</si>
  <si>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</si>
  <si>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</si>
  <si>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YES</t>
  </si>
  <si>
    <t>NO</t>
  </si>
  <si>
    <t>Departure</t>
  </si>
  <si>
    <t>Destination</t>
  </si>
  <si>
    <t>Meal</t>
  </si>
  <si>
    <t>planetype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</si>
  <si>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</si>
  <si>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</si>
  <si>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</si>
  <si>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</si>
  <si>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</si>
  <si>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</si>
  <si>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</si>
  <si>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</si>
  <si>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</si>
  <si>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 xml:space="preserve"> First Name</t>
  </si>
  <si>
    <t>idflights</t>
  </si>
  <si>
    <t>Étiquettes de lignes</t>
  </si>
  <si>
    <t>Total général</t>
  </si>
  <si>
    <t>SecurityCheck</t>
  </si>
  <si>
    <t>MaintenanceCheck</t>
  </si>
  <si>
    <t>ScheduledCheck</t>
  </si>
  <si>
    <t>ActualCheck</t>
  </si>
  <si>
    <t>ScheduledDeparture Time</t>
  </si>
  <si>
    <t>ActualDeparture time</t>
  </si>
  <si>
    <t>Nombre de Idflights</t>
  </si>
  <si>
    <t>flightstype</t>
  </si>
  <si>
    <t>Montana</t>
  </si>
  <si>
    <t>Bond</t>
  </si>
  <si>
    <t>Cecilia</t>
  </si>
  <si>
    <t>Shaffer</t>
  </si>
  <si>
    <t>Neve</t>
  </si>
  <si>
    <t>Maxwell</t>
  </si>
  <si>
    <t>Paloma</t>
  </si>
  <si>
    <t>Durham</t>
  </si>
  <si>
    <t>Taylor</t>
  </si>
  <si>
    <t>Nixon</t>
  </si>
  <si>
    <t>Emery</t>
  </si>
  <si>
    <t>Summers</t>
  </si>
  <si>
    <t>Oleg</t>
  </si>
  <si>
    <t>Coffey</t>
  </si>
  <si>
    <t>Giacomo</t>
  </si>
  <si>
    <t>Sawyer</t>
  </si>
  <si>
    <t>August</t>
  </si>
  <si>
    <t>Brown</t>
  </si>
  <si>
    <t>Iola</t>
  </si>
  <si>
    <t>Wilder</t>
  </si>
  <si>
    <t>Jael</t>
  </si>
  <si>
    <t>Conrad</t>
  </si>
  <si>
    <t>Basil</t>
  </si>
  <si>
    <t>Winters</t>
  </si>
  <si>
    <t>Clio</t>
  </si>
  <si>
    <t>Cantrell</t>
  </si>
  <si>
    <t>Chester</t>
  </si>
  <si>
    <t>Gilliam</t>
  </si>
  <si>
    <t>Jessica</t>
  </si>
  <si>
    <t>Gillespie</t>
  </si>
  <si>
    <t>Paki</t>
  </si>
  <si>
    <t>Adkins</t>
  </si>
  <si>
    <t>Tashya</t>
  </si>
  <si>
    <t>Tucker</t>
  </si>
  <si>
    <t>Moses</t>
  </si>
  <si>
    <t>Kramer</t>
  </si>
  <si>
    <t>Isadora</t>
  </si>
  <si>
    <t>Snyder</t>
  </si>
  <si>
    <t>TaShya</t>
  </si>
  <si>
    <t>Dalton</t>
  </si>
  <si>
    <t>Sandra</t>
  </si>
  <si>
    <t>Burch</t>
  </si>
  <si>
    <t>Hayes</t>
  </si>
  <si>
    <t>Buckner</t>
  </si>
  <si>
    <t>Charissa</t>
  </si>
  <si>
    <t>Lynch</t>
  </si>
  <si>
    <t>Hamish</t>
  </si>
  <si>
    <t>Craft</t>
  </si>
  <si>
    <t>Candice</t>
  </si>
  <si>
    <t>Fitzgerald</t>
  </si>
  <si>
    <t>Dai</t>
  </si>
  <si>
    <t>Whitehead</t>
  </si>
  <si>
    <t>Veronica</t>
  </si>
  <si>
    <t>Bell</t>
  </si>
  <si>
    <t>Lowe</t>
  </si>
  <si>
    <t>Reagan</t>
  </si>
  <si>
    <t>Hester</t>
  </si>
  <si>
    <t>Aileen</t>
  </si>
  <si>
    <t>Weiss</t>
  </si>
  <si>
    <t>Carissa</t>
  </si>
  <si>
    <t>Ramsey</t>
  </si>
  <si>
    <t>Samantha</t>
  </si>
  <si>
    <t>Owens</t>
  </si>
  <si>
    <t>Leilani</t>
  </si>
  <si>
    <t>May</t>
  </si>
  <si>
    <t>Dana</t>
  </si>
  <si>
    <t>Haynes</t>
  </si>
  <si>
    <t>Jamalia</t>
  </si>
  <si>
    <t>Rosales</t>
  </si>
  <si>
    <t>Illiana</t>
  </si>
  <si>
    <t>Schneider</t>
  </si>
  <si>
    <t>Rajah</t>
  </si>
  <si>
    <t>Oneal</t>
  </si>
  <si>
    <t>Kaseem</t>
  </si>
  <si>
    <t>Blackburn</t>
  </si>
  <si>
    <t>Tanner</t>
  </si>
  <si>
    <t>Jennings</t>
  </si>
  <si>
    <t>Jonah</t>
  </si>
  <si>
    <t>Dunn</t>
  </si>
  <si>
    <t>Georgia</t>
  </si>
  <si>
    <t>Guzman</t>
  </si>
  <si>
    <t>Minerva</t>
  </si>
  <si>
    <t>Cotton</t>
  </si>
  <si>
    <t>Boris</t>
  </si>
  <si>
    <t>Patrick</t>
  </si>
  <si>
    <t>Dylan</t>
  </si>
  <si>
    <t>Emerson</t>
  </si>
  <si>
    <t>Merrill</t>
  </si>
  <si>
    <t>Swanson</t>
  </si>
  <si>
    <t>Cynthia</t>
  </si>
  <si>
    <t>Holden</t>
  </si>
  <si>
    <t>Rhonda</t>
  </si>
  <si>
    <t>Macias</t>
  </si>
  <si>
    <t>Martena</t>
  </si>
  <si>
    <t>Houston</t>
  </si>
  <si>
    <t>Branden</t>
  </si>
  <si>
    <t>Mckee</t>
  </si>
  <si>
    <t>Kennedy</t>
  </si>
  <si>
    <t>Green</t>
  </si>
  <si>
    <t>Avram</t>
  </si>
  <si>
    <t>Miranda</t>
  </si>
  <si>
    <t>Griffin</t>
  </si>
  <si>
    <t>Garrett</t>
  </si>
  <si>
    <t>Xanthus</t>
  </si>
  <si>
    <t>Mcpherson</t>
  </si>
  <si>
    <t>Maya</t>
  </si>
  <si>
    <t>Lang</t>
  </si>
  <si>
    <t>Calvin</t>
  </si>
  <si>
    <t>Hyatt</t>
  </si>
  <si>
    <t>Mcfadden</t>
  </si>
  <si>
    <t>Irma</t>
  </si>
  <si>
    <t>Larson</t>
  </si>
  <si>
    <t>Heather</t>
  </si>
  <si>
    <t>Adena</t>
  </si>
  <si>
    <t>Joseph</t>
  </si>
  <si>
    <t>Clementine</t>
  </si>
  <si>
    <t>Coleman</t>
  </si>
  <si>
    <t>Humphrey</t>
  </si>
  <si>
    <t>Talon</t>
  </si>
  <si>
    <t>Ayers</t>
  </si>
  <si>
    <t>Jocelyn</t>
  </si>
  <si>
    <t>Melton</t>
  </si>
  <si>
    <t>Simon</t>
  </si>
  <si>
    <t>Lucas</t>
  </si>
  <si>
    <t>Judah</t>
  </si>
  <si>
    <t>Cline</t>
  </si>
  <si>
    <t>Ginger</t>
  </si>
  <si>
    <t>Holcomb</t>
  </si>
  <si>
    <t>Skyler</t>
  </si>
  <si>
    <t>Casey</t>
  </si>
  <si>
    <t>Rashad</t>
  </si>
  <si>
    <t>Rojas</t>
  </si>
  <si>
    <t>Madeson</t>
  </si>
  <si>
    <t>Holloway</t>
  </si>
  <si>
    <t>Neville</t>
  </si>
  <si>
    <t>Caldwell</t>
  </si>
  <si>
    <t>Sonya</t>
  </si>
  <si>
    <t>Hogan</t>
  </si>
  <si>
    <t>Kylie</t>
  </si>
  <si>
    <t>Meadows</t>
  </si>
  <si>
    <t>Kylee</t>
  </si>
  <si>
    <t>Solis</t>
  </si>
  <si>
    <t>Lenore</t>
  </si>
  <si>
    <t>Wiggins</t>
  </si>
  <si>
    <t>Hilary</t>
  </si>
  <si>
    <t>Frost</t>
  </si>
  <si>
    <t>Norman</t>
  </si>
  <si>
    <t>Fisher</t>
  </si>
  <si>
    <t>Genevieve</t>
  </si>
  <si>
    <t>Hull</t>
  </si>
  <si>
    <t>Chase</t>
  </si>
  <si>
    <t>Marsh</t>
  </si>
  <si>
    <t>Wayne</t>
  </si>
  <si>
    <t>Gould</t>
  </si>
  <si>
    <t>Shellie</t>
  </si>
  <si>
    <t>Foster</t>
  </si>
  <si>
    <t>Amery</t>
  </si>
  <si>
    <t>Dennis</t>
  </si>
  <si>
    <t>Wilma</t>
  </si>
  <si>
    <t>Mccullough</t>
  </si>
  <si>
    <t>Shelley</t>
  </si>
  <si>
    <t>Meghan</t>
  </si>
  <si>
    <t>Cooley</t>
  </si>
  <si>
    <t>Wade</t>
  </si>
  <si>
    <t>Dodson</t>
  </si>
  <si>
    <t>Halee</t>
  </si>
  <si>
    <t>Woodard</t>
  </si>
  <si>
    <t>Phillip</t>
  </si>
  <si>
    <t>Carter</t>
  </si>
  <si>
    <t>Harper</t>
  </si>
  <si>
    <t>Burke</t>
  </si>
  <si>
    <t>Mclean</t>
  </si>
  <si>
    <t>Owen</t>
  </si>
  <si>
    <t>Pollard</t>
  </si>
  <si>
    <t>Yeo</t>
  </si>
  <si>
    <t>Mack</t>
  </si>
  <si>
    <t>Summer</t>
  </si>
  <si>
    <t>Wing</t>
  </si>
  <si>
    <t>Garrison</t>
  </si>
  <si>
    <t>Ignacia</t>
  </si>
  <si>
    <t>Kinney</t>
  </si>
  <si>
    <t>Martinez</t>
  </si>
  <si>
    <t>Driscoll</t>
  </si>
  <si>
    <t>Hunter</t>
  </si>
  <si>
    <t>Aidan</t>
  </si>
  <si>
    <t>Farrell</t>
  </si>
  <si>
    <t>Cleo</t>
  </si>
  <si>
    <t>Hale</t>
  </si>
  <si>
    <t>Griffith</t>
  </si>
  <si>
    <t>Bush</t>
  </si>
  <si>
    <t>Scott</t>
  </si>
  <si>
    <t>Henderson</t>
  </si>
  <si>
    <t>Drake</t>
  </si>
  <si>
    <t>Fletcher</t>
  </si>
  <si>
    <t>Burnett</t>
  </si>
  <si>
    <t>Stone</t>
  </si>
  <si>
    <t>Young</t>
  </si>
  <si>
    <t>Wendy</t>
  </si>
  <si>
    <t>Henry</t>
  </si>
  <si>
    <t>Harding</t>
  </si>
  <si>
    <t>Weber</t>
  </si>
  <si>
    <t>Paul</t>
  </si>
  <si>
    <t>Castro</t>
  </si>
  <si>
    <t>Pearl</t>
  </si>
  <si>
    <t>Dixon</t>
  </si>
  <si>
    <t>Ariel</t>
  </si>
  <si>
    <t>Quinn</t>
  </si>
  <si>
    <t>Maxine</t>
  </si>
  <si>
    <t>Gilbert</t>
  </si>
  <si>
    <t>Mannix</t>
  </si>
  <si>
    <t>Mcclain</t>
  </si>
  <si>
    <t>Hayden</t>
  </si>
  <si>
    <t>Patterson</t>
  </si>
  <si>
    <t>Unity</t>
  </si>
  <si>
    <t>Reese</t>
  </si>
  <si>
    <t>Denton</t>
  </si>
  <si>
    <t>Cooper</t>
  </si>
  <si>
    <t>Boone</t>
  </si>
  <si>
    <t>Yvette</t>
  </si>
  <si>
    <t>Nayda</t>
  </si>
  <si>
    <t>Cochran</t>
  </si>
  <si>
    <t>Clemons</t>
  </si>
  <si>
    <t>Jesse</t>
  </si>
  <si>
    <t>Irwin</t>
  </si>
  <si>
    <t>Alana</t>
  </si>
  <si>
    <t>Ramirez</t>
  </si>
  <si>
    <t>Acton</t>
  </si>
  <si>
    <t>Hudson</t>
  </si>
  <si>
    <t>Hermione</t>
  </si>
  <si>
    <t>Josephine</t>
  </si>
  <si>
    <t>Sellers</t>
  </si>
  <si>
    <t>Eaton</t>
  </si>
  <si>
    <t>Jordan</t>
  </si>
  <si>
    <t>Guy</t>
  </si>
  <si>
    <t>Alfonso</t>
  </si>
  <si>
    <t>Imani</t>
  </si>
  <si>
    <t>Sears</t>
  </si>
  <si>
    <t>Brendan</t>
  </si>
  <si>
    <t>Cannon</t>
  </si>
  <si>
    <t>Rutledge</t>
  </si>
  <si>
    <t>Hadassah</t>
  </si>
  <si>
    <t>Kirk</t>
  </si>
  <si>
    <t>Zachery</t>
  </si>
  <si>
    <t>Rollins</t>
  </si>
  <si>
    <t>Ann</t>
  </si>
  <si>
    <t>Shaine</t>
  </si>
  <si>
    <t>Mcdonald</t>
  </si>
  <si>
    <t>Riley</t>
  </si>
  <si>
    <t>Baxter</t>
  </si>
  <si>
    <t>Nicholas</t>
  </si>
  <si>
    <t>Whitfield</t>
  </si>
  <si>
    <t>Jolie</t>
  </si>
  <si>
    <t>Harrison</t>
  </si>
  <si>
    <t>Patel</t>
  </si>
  <si>
    <t>Orlando</t>
  </si>
  <si>
    <t>Jarvis</t>
  </si>
  <si>
    <t>Dieter</t>
  </si>
  <si>
    <t>Little</t>
  </si>
  <si>
    <t>Chaim</t>
  </si>
  <si>
    <t>Glass</t>
  </si>
  <si>
    <t>Mari</t>
  </si>
  <si>
    <t>Velez</t>
  </si>
  <si>
    <t>Hashim</t>
  </si>
  <si>
    <t>Terry</t>
  </si>
  <si>
    <t>Moana</t>
  </si>
  <si>
    <t>Graham</t>
  </si>
  <si>
    <t>Merritt</t>
  </si>
  <si>
    <t>Travis</t>
  </si>
  <si>
    <t>Preston</t>
  </si>
  <si>
    <t>Rice</t>
  </si>
  <si>
    <t>Penelope</t>
  </si>
  <si>
    <t>Bert</t>
  </si>
  <si>
    <t>Chavez</t>
  </si>
  <si>
    <t>Silas</t>
  </si>
  <si>
    <t>Contreras</t>
  </si>
  <si>
    <t>Wong</t>
  </si>
  <si>
    <t>Kalia</t>
  </si>
  <si>
    <t>Elliott</t>
  </si>
  <si>
    <t>Zeph</t>
  </si>
  <si>
    <t>Venus</t>
  </si>
  <si>
    <t>Henson</t>
  </si>
  <si>
    <t>Tatiana</t>
  </si>
  <si>
    <t>Mullen</t>
  </si>
  <si>
    <t>Zane</t>
  </si>
  <si>
    <t>Pate</t>
  </si>
  <si>
    <t>Xaviera</t>
  </si>
  <si>
    <t>Ellis</t>
  </si>
  <si>
    <t>Fritz</t>
  </si>
  <si>
    <t>Randall</t>
  </si>
  <si>
    <t>Hampton</t>
  </si>
  <si>
    <t>Cruz</t>
  </si>
  <si>
    <t>Hewitt</t>
  </si>
  <si>
    <t>Whilemina</t>
  </si>
  <si>
    <t>Hess</t>
  </si>
  <si>
    <t>Kylan</t>
  </si>
  <si>
    <t>Hood</t>
  </si>
  <si>
    <t>Shelby</t>
  </si>
  <si>
    <t>Hoffman</t>
  </si>
  <si>
    <t>Gretchen</t>
  </si>
  <si>
    <t>Gaines</t>
  </si>
  <si>
    <t>Amaya</t>
  </si>
  <si>
    <t>Mercer</t>
  </si>
  <si>
    <t>Teegan</t>
  </si>
  <si>
    <t>Lester</t>
  </si>
  <si>
    <t>Mayer</t>
  </si>
  <si>
    <t>Cairo</t>
  </si>
  <si>
    <t>Britt</t>
  </si>
  <si>
    <t>Stewart</t>
  </si>
  <si>
    <t>Lawson</t>
  </si>
  <si>
    <t>Dane</t>
  </si>
  <si>
    <t>Livingston</t>
  </si>
  <si>
    <t>Wyatt</t>
  </si>
  <si>
    <t>Sargent</t>
  </si>
  <si>
    <t>Wesley</t>
  </si>
  <si>
    <t>Serrano</t>
  </si>
  <si>
    <t>Samson</t>
  </si>
  <si>
    <t>Mcmahon</t>
  </si>
  <si>
    <t>Lucy</t>
  </si>
  <si>
    <t>Knight</t>
  </si>
  <si>
    <t>Lee</t>
  </si>
  <si>
    <t>Hendrix</t>
  </si>
  <si>
    <t>Lesley</t>
  </si>
  <si>
    <t>Flores</t>
  </si>
  <si>
    <t>Cailin</t>
  </si>
  <si>
    <t>Sykes</t>
  </si>
  <si>
    <t>Shields</t>
  </si>
  <si>
    <t>Keely</t>
  </si>
  <si>
    <t>Callum</t>
  </si>
  <si>
    <t>Leach</t>
  </si>
  <si>
    <t>Hanson</t>
  </si>
  <si>
    <t>Zachary</t>
  </si>
  <si>
    <t>Bruce</t>
  </si>
  <si>
    <t>Noelle</t>
  </si>
  <si>
    <t>Fuentes</t>
  </si>
  <si>
    <t>Kay</t>
  </si>
  <si>
    <t>Tillman</t>
  </si>
  <si>
    <t>Alisa</t>
  </si>
  <si>
    <t>Calderon</t>
  </si>
  <si>
    <t>Otto</t>
  </si>
  <si>
    <t>Stevens</t>
  </si>
  <si>
    <t>Armand</t>
  </si>
  <si>
    <t>Hill</t>
  </si>
  <si>
    <t>Dominic</t>
  </si>
  <si>
    <t>Hensley</t>
  </si>
  <si>
    <t>Wynne</t>
  </si>
  <si>
    <t>Chandler</t>
  </si>
  <si>
    <t>Mira</t>
  </si>
  <si>
    <t>Cohen</t>
  </si>
  <si>
    <t>Akeem</t>
  </si>
  <si>
    <t>Wise</t>
  </si>
  <si>
    <t>Edward</t>
  </si>
  <si>
    <t>Frederick</t>
  </si>
  <si>
    <t>Isaiah</t>
  </si>
  <si>
    <t>Parsons</t>
  </si>
  <si>
    <t>Dante</t>
  </si>
  <si>
    <t>Battle</t>
  </si>
  <si>
    <t>Jonas</t>
  </si>
  <si>
    <t>Mark</t>
  </si>
  <si>
    <t>Alvarez</t>
  </si>
  <si>
    <t>Rudyard</t>
  </si>
  <si>
    <t>Allen</t>
  </si>
  <si>
    <t>Roanna</t>
  </si>
  <si>
    <t>Callahan</t>
  </si>
  <si>
    <t>Iona</t>
  </si>
  <si>
    <t>Hobbs</t>
  </si>
  <si>
    <t>1930 Vestibulum, Road,Kerkhove</t>
  </si>
  <si>
    <t>924-4076 Ac St.,Anzegem</t>
  </si>
  <si>
    <t>Ap #908-3316 Orci. Ave,Salerno</t>
  </si>
  <si>
    <t>Ap #536-9838 Nulla. Rd.,Delitzsch</t>
  </si>
  <si>
    <t>941-9937 Dictum. Avenue,Campomarino</t>
  </si>
  <si>
    <t>956-7701 Sagittis Road,Rhemes-Notre-Dame</t>
  </si>
  <si>
    <t>796-2694 Ipsum Street,Saint-Pierre</t>
  </si>
  <si>
    <t>Ap #920-2369 Massa. St.,Keiem</t>
  </si>
  <si>
    <t>246-9207 Non Av.,Cairo Montenotte</t>
  </si>
  <si>
    <t>Ap #606-4259 Sit Av.,Morkhoven</t>
  </si>
  <si>
    <t>2270 At St.,Hofors</t>
  </si>
  <si>
    <t>Ap #623-8102 Integer Rd.,Jefferson City</t>
  </si>
  <si>
    <t>Ap #928-4215 Sociis St.,Monte San Giovanni in Sabina</t>
  </si>
  <si>
    <t>345-4561 Quis Rd.,Camiña</t>
  </si>
  <si>
    <t>P.O. Box 773, 2588 Elit. Road,Sullana</t>
  </si>
  <si>
    <t>Ap #361-9806 Tempus Avenue,Casalvieri</t>
  </si>
  <si>
    <t>9948 Euismod Av.,Pointe-aux-Trembles</t>
  </si>
  <si>
    <t>9130 Consequat Rd.,Sevsk</t>
  </si>
  <si>
    <t>P.O. Box 875, 3846 Adipiscing Avenue,Wageningen</t>
  </si>
  <si>
    <t>2083 Amet Street,Rutland</t>
  </si>
  <si>
    <t>Ap #739-4977 Euismod Road,Southwell</t>
  </si>
  <si>
    <t>454-8836 Enim. St.,Québec City</t>
  </si>
  <si>
    <t>7355 Ante, Road,Merbes-le-Ch‰teau</t>
  </si>
  <si>
    <t>564-1207 Diam. Rd.,Worcester</t>
  </si>
  <si>
    <t>P.O. Box 305, 5788 Lorem, Avenue,Andenne</t>
  </si>
  <si>
    <t>Ap #440-9104 Adipiscing Avenue,Rueil-Malmaison</t>
  </si>
  <si>
    <t>Ap #921-6818 At Rd.,Tejar</t>
  </si>
  <si>
    <t>P.O. Box 503, 1613 Lobortis Ave,Carstairs</t>
  </si>
  <si>
    <t>128-5309 Mauris Ave,Maria</t>
  </si>
  <si>
    <t>Ap #386-5136 Quis Ave,Saint-Prime</t>
  </si>
  <si>
    <t>P.O. Box 679, 450 Augue St.,Valera Fratta</t>
  </si>
  <si>
    <t>Ap #544-5969 Risus. Avenue,Sant'Elia a Pianisi</t>
  </si>
  <si>
    <t>P.O. Box 439, 6274 Nec Ave,Las Cabras</t>
  </si>
  <si>
    <t>P.O. Box 276, 762 Et, Road,Bonn</t>
  </si>
  <si>
    <t>P.O. Box 755, 1211 Cum Ave,Ahmadpur East</t>
  </si>
  <si>
    <t>353 Erat Avenue,Cartagena del Chairá</t>
  </si>
  <si>
    <t>6745 Amet Street,Saltara</t>
  </si>
  <si>
    <t>Ap #437-276 Ullamcorper, Ave,Hantes-WihŽries</t>
  </si>
  <si>
    <t>3227 Ac, Street,Ilkeston</t>
  </si>
  <si>
    <t>8808 Dui, Rd.,Santander</t>
  </si>
  <si>
    <t>Ap #810-4587 Eu Rd.,Coutisse</t>
  </si>
  <si>
    <t>Ap #829-6752 Vestibulum. Av.,Saskatoon</t>
  </si>
  <si>
    <t>2480 Malesuada St.,Gdańsk</t>
  </si>
  <si>
    <t>P.O. Box 295, 1106 Pede. Rd.,Bathgate</t>
  </si>
  <si>
    <t>5232 Vehicula Street,Kakinada</t>
  </si>
  <si>
    <t>4663 In Ave,Castello dell'Acqua</t>
  </si>
  <si>
    <t>Ap #873-336 A, Street,Montone</t>
  </si>
  <si>
    <t>P.O. Box 615, 6732 Nulla Road,Huaral</t>
  </si>
  <si>
    <t>Ap #590-8984 Lacus. St.,Cantley</t>
  </si>
  <si>
    <t>Ap #808-9054 At, Avenue,Orhangazi</t>
  </si>
  <si>
    <t>694-3226 Arcu Rd.,Ferrere</t>
  </si>
  <si>
    <t>Ap #329-4407 Lectus Road,Fort Smith</t>
  </si>
  <si>
    <t>Ap #842-2480 Purus Ave,Independence</t>
  </si>
  <si>
    <t>811-6429 Risus. St.,Gurgaon</t>
  </si>
  <si>
    <t>Ap #357-6185 Dolor St.,Champlain</t>
  </si>
  <si>
    <t>159 Mauris Road,Dilbeek</t>
  </si>
  <si>
    <t>P.O. Box 556, 5421 Orci Avenue,Chernogolovka</t>
  </si>
  <si>
    <t>832-9042 Sed Street,Tampico</t>
  </si>
  <si>
    <t>320-1938 Sapien Street,Balıkesir</t>
  </si>
  <si>
    <t>375-4195 Aliquam Ave,Kenosha</t>
  </si>
  <si>
    <t>498-6174 Per St.,Pembroke</t>
  </si>
  <si>
    <t>3926 Rhoncus. Av.,Stargard Szczeciński</t>
  </si>
  <si>
    <t>P.O. Box 681, 2139 Semper Avenue,Virginia Beach</t>
  </si>
  <si>
    <t>P.O. Box 211, 3595 Felis. St.,Alva</t>
  </si>
  <si>
    <t>6919 Quis Ave,San Fele</t>
  </si>
  <si>
    <t>Ap #433-7163 Lorem, Street,Bludenz</t>
  </si>
  <si>
    <t>P.O. Box 355, 8462 Pellentesque Av.,Bryansk</t>
  </si>
  <si>
    <t>Ap #311-4846 Euismod Ave,Saint-Maur-des-Fossés</t>
  </si>
  <si>
    <t>844-5289 Sed St.,San Juan de Girón</t>
  </si>
  <si>
    <t>Ap #546-5892 Dolor. Street,Oostkerke</t>
  </si>
  <si>
    <t>5819 Non, Av.,Barra do Corda</t>
  </si>
  <si>
    <t>P.O. Box 196, 4972 Aliquam Road,Exeter</t>
  </si>
  <si>
    <t>539-1848 Dis St.,Murree</t>
  </si>
  <si>
    <t>P.O. Box 723, 3918 Phasellus Av.,Vliermaalroot</t>
  </si>
  <si>
    <t>Ap #535-7676 Aliquet Road,Banjarmasin</t>
  </si>
  <si>
    <t>5157 Fringilla Street,Podolsk</t>
  </si>
  <si>
    <t>7897 Convallis Rd.,Stornaway</t>
  </si>
  <si>
    <t>P.O. Box 591, 5899 Curae; St.,Enterprise</t>
  </si>
  <si>
    <t>296-7772 Vel Avenue,Vallentuna</t>
  </si>
  <si>
    <t>651-3388 Interdum. Rd.,Buckingham</t>
  </si>
  <si>
    <t>465-9145 Sit Av.,Roveredo in Piano</t>
  </si>
  <si>
    <t>Ap #316-880 Nunc Ave,Gonnosnò</t>
  </si>
  <si>
    <t>Ap #518-483 Ullamcorper. St.,Orp-le-Grand</t>
  </si>
  <si>
    <t>P.O. Box 959, 3790 Torquent Av.,Dabgram</t>
  </si>
  <si>
    <t>Ap #510-8722 Tortor Rd.,Tuscaloosa</t>
  </si>
  <si>
    <t>P.O. Box 627, 1385 Tortor. Rd.,Ziano di Fiemme</t>
  </si>
  <si>
    <t>P.O. Box 858, 3897 Justo Street,Quibdó</t>
  </si>
  <si>
    <t>P.O. Box 568, 6542 Tortor Rd.,Oklahoma City</t>
  </si>
  <si>
    <t>Ap #602-8922 Cursus Rd.,Acquasanta Terme</t>
  </si>
  <si>
    <t>P.O. Box 711, 9455 Quam, Avenue,Poggio San Marcello</t>
  </si>
  <si>
    <t>Ap #238-3818 Euismod Rd.,Independence</t>
  </si>
  <si>
    <t>P.O. Box 373, 1220 Leo Rd.,Menai Bridge</t>
  </si>
  <si>
    <t>P.O. Box 776, 3774 Et, Rd.,Patos</t>
  </si>
  <si>
    <t>8215 Bibendum. St.,Maiduguri</t>
  </si>
  <si>
    <t>868-3512 In St.,Rothes</t>
  </si>
  <si>
    <t>6472 Sed St.,Zlatoust</t>
  </si>
  <si>
    <t>Ap #342-4977 Convallis St.,Evansville</t>
  </si>
  <si>
    <t>Ap #259-6131 Et Rd.,Kearney</t>
  </si>
  <si>
    <t>575 Eros St.,Basildon</t>
  </si>
  <si>
    <t>P.O. Box 301, 4834 Vel, Av.,Zaria</t>
  </si>
  <si>
    <t>ton</t>
  </si>
  <si>
    <t>air</t>
  </si>
  <si>
    <t>eye</t>
  </si>
  <si>
    <t>fax</t>
  </si>
  <si>
    <t>god</t>
  </si>
  <si>
    <t>tax</t>
  </si>
  <si>
    <t>leg</t>
  </si>
  <si>
    <t>pat</t>
  </si>
  <si>
    <t>pin</t>
  </si>
  <si>
    <t>sea</t>
  </si>
  <si>
    <t>dry</t>
  </si>
  <si>
    <t>get</t>
  </si>
  <si>
    <t>hut</t>
  </si>
  <si>
    <t>new</t>
  </si>
  <si>
    <t>fat</t>
  </si>
  <si>
    <t>law</t>
  </si>
  <si>
    <t>pig</t>
  </si>
  <si>
    <t>kit</t>
  </si>
  <si>
    <t>era</t>
  </si>
  <si>
    <t>fur</t>
  </si>
  <si>
    <t>sex</t>
  </si>
  <si>
    <t>end</t>
  </si>
  <si>
    <t>spy</t>
  </si>
  <si>
    <t>hit</t>
  </si>
  <si>
    <t>gap</t>
  </si>
  <si>
    <t>art</t>
  </si>
  <si>
    <t>job</t>
  </si>
  <si>
    <t>vat</t>
  </si>
  <si>
    <t>die</t>
  </si>
  <si>
    <t>joy</t>
  </si>
  <si>
    <t>shy</t>
  </si>
  <si>
    <t>sow</t>
  </si>
  <si>
    <t>hay</t>
  </si>
  <si>
    <t>cup</t>
  </si>
  <si>
    <t>due</t>
  </si>
  <si>
    <t>lid</t>
  </si>
  <si>
    <t>tap</t>
  </si>
  <si>
    <t>man</t>
  </si>
  <si>
    <t>add</t>
  </si>
  <si>
    <t>age</t>
  </si>
  <si>
    <t>dip</t>
  </si>
  <si>
    <t>eat</t>
  </si>
  <si>
    <t>ant</t>
  </si>
  <si>
    <t>pit</t>
  </si>
  <si>
    <t>few</t>
  </si>
  <si>
    <t>gun</t>
  </si>
  <si>
    <t>ask</t>
  </si>
  <si>
    <t>dog</t>
  </si>
  <si>
    <t>pay</t>
  </si>
  <si>
    <t>try</t>
  </si>
  <si>
    <t>bow</t>
  </si>
  <si>
    <t>way</t>
  </si>
  <si>
    <t>flu</t>
  </si>
  <si>
    <t>ear</t>
  </si>
  <si>
    <t>gem</t>
  </si>
  <si>
    <t>sum</t>
  </si>
  <si>
    <t>tin</t>
  </si>
  <si>
    <t>hot</t>
  </si>
  <si>
    <t>put</t>
  </si>
  <si>
    <t>sip</t>
  </si>
  <si>
    <t>fan</t>
  </si>
  <si>
    <t>aid</t>
  </si>
  <si>
    <t>fee</t>
  </si>
  <si>
    <t>map</t>
  </si>
  <si>
    <t>win</t>
  </si>
  <si>
    <t>owe</t>
  </si>
  <si>
    <t>beg</t>
  </si>
  <si>
    <t>see</t>
  </si>
  <si>
    <t>nun</t>
  </si>
  <si>
    <t>say</t>
  </si>
  <si>
    <t>fox</t>
  </si>
  <si>
    <t>top</t>
  </si>
  <si>
    <t>pie</t>
  </si>
  <si>
    <t>ice</t>
  </si>
  <si>
    <t>7223 Mus. Rd.Coinco</t>
  </si>
  <si>
    <t>P.O. Box 518, 4619 Sit Rd.South Burlington</t>
  </si>
  <si>
    <t>394-6101 Posuere AvenueNovy Oskol</t>
  </si>
  <si>
    <t>P.O. Box 234, 2860 Libero RoadGenval</t>
  </si>
  <si>
    <t>3927 Tempor Av.Fort Worth</t>
  </si>
  <si>
    <t>P.O. Box 303, 1727 Semper RoadTerrance</t>
  </si>
  <si>
    <t>637-157 Phasellus AvenueMolino dei Torti</t>
  </si>
  <si>
    <t>Ap #974-8592 Arcu Rd.Faizabad</t>
  </si>
  <si>
    <t>Ap #675-2193 Curabitur StreetPamel</t>
  </si>
  <si>
    <t>P.O. Box 489, 7302 Suspendisse Rd.Kirkland</t>
  </si>
  <si>
    <t>5631 Gravida St.Garaguso</t>
  </si>
  <si>
    <t>2356 Ac RoadWhitburn</t>
  </si>
  <si>
    <t>6043 Neque. Av.Sainte-Flavie</t>
  </si>
  <si>
    <t>P.O. Box 740, 1571 Ut, AvePort Hope</t>
  </si>
  <si>
    <t>297-4396 Curabitur Rd.Nethen</t>
  </si>
  <si>
    <t>701-3203 Orci Rd.Capena</t>
  </si>
  <si>
    <t>P.O. Box 442, 8363 Eget, St.Baisy-Thy</t>
  </si>
  <si>
    <t>Ap #122-1126 Egestas. RoadSan Antonio</t>
  </si>
  <si>
    <t>P.O. Box 822, 3322 Erat AvenueBroechem</t>
  </si>
  <si>
    <t>397-2040 Cursus, Rd.Westmount</t>
  </si>
  <si>
    <t>P.O. Box 238, 9077 Dui St.Bognor Regis</t>
  </si>
  <si>
    <t>P.O. Box 268, 2218 Massa. Rd.Acquafondata</t>
  </si>
  <si>
    <t>1789 Erat, Av.Sambalpur</t>
  </si>
  <si>
    <t>Ap #536-1199 Consequat AvenueGroßpetersdorf</t>
  </si>
  <si>
    <t>P.O. Box 819, 768 Eget St.Fossato Serralta</t>
  </si>
  <si>
    <t>7379 Ornare, RoadColumbia</t>
  </si>
  <si>
    <t>P.O. Box 602, 4420 Sed RoadTurgutlu</t>
  </si>
  <si>
    <t>Ap #788-3437 Ullamcorper, St.100 Mile House</t>
  </si>
  <si>
    <t>P.O. Box 917, 1747 Erat. Rd.Venlo</t>
  </si>
  <si>
    <t>7708 Volutpat. St.Provo</t>
  </si>
  <si>
    <t>P.O. Box 603, 2367 Maecenas Av.Yekaterinburg</t>
  </si>
  <si>
    <t>179-852 Eget StreetHeinsch</t>
  </si>
  <si>
    <t>1860 Pede. RoadAlbiano</t>
  </si>
  <si>
    <t>5153 Tincidunt, StreetMorro d'Alba</t>
  </si>
  <si>
    <t>Ap #710-9185 Tempor RoadCalestano</t>
  </si>
  <si>
    <t>P.O. Box 394, 4025 Tempor St.Brodick</t>
  </si>
  <si>
    <t>P.O. Box 204, 617 Turpis Rd.Rodez</t>
  </si>
  <si>
    <t>Ap #965-8579 Ornare, Rd.Stranraer</t>
  </si>
  <si>
    <t>6650 Diam. Av.Omsk</t>
  </si>
  <si>
    <t>8996 Curabitur Rd.Gasteiz</t>
  </si>
  <si>
    <t>Ap #593-8552 Pharetra Av.Oranienburg</t>
  </si>
  <si>
    <t>336-7971 Aliquam St.Calgary</t>
  </si>
  <si>
    <t>Ap #281-5431 Egestas. RoadColumbia</t>
  </si>
  <si>
    <t>3671 Ut Rd.Kurgan</t>
  </si>
  <si>
    <t>P.O. Box 117, 3144 Neque. StreetEvere</t>
  </si>
  <si>
    <t>4179 Mollis Rd.Wandsworth</t>
  </si>
  <si>
    <t>Ap #637-8656 Mauris RoadGrantham</t>
  </si>
  <si>
    <t>P.O. Box 348, 2155 Volutpat. Rd.Tirúa</t>
  </si>
  <si>
    <t>675-1518 At AvenueKolmont</t>
  </si>
  <si>
    <t>4126 Ipsum St.Landau</t>
  </si>
  <si>
    <t>Ap #334-308 Etiam Rd.Sint-Michiels</t>
  </si>
  <si>
    <t>152-2395 Id Rd.Clarksville</t>
  </si>
  <si>
    <t>2316 Consectetuer, St.Ergani</t>
  </si>
  <si>
    <t>8125 Leo. AveHoeke</t>
  </si>
  <si>
    <t>808-6943 Aliquet Rd.Pontboset</t>
  </si>
  <si>
    <t>Ap #165-2772 Non St.Stirling</t>
  </si>
  <si>
    <t>363-3700 Ipsum Rd.Bertiolo</t>
  </si>
  <si>
    <t>6865 Lacinia Rd.Thane</t>
  </si>
  <si>
    <t>P.O. Box 620, 4559 Lacus St.Issy-les-Moulineaux</t>
  </si>
  <si>
    <t>Ap #189-6206 Feugiat Rd.Tehuacán</t>
  </si>
  <si>
    <t>674 Auctor Rd.Bekegem</t>
  </si>
  <si>
    <t>2996 Commodo Rd.Zeitz</t>
  </si>
  <si>
    <t>Ap #170-537 Vulputate Av.Yeongju</t>
  </si>
  <si>
    <t>377-8786 Est AveTrani</t>
  </si>
  <si>
    <t>P.O. Box 810, 8548 Consequat AvenueBéthune</t>
  </si>
  <si>
    <t>8827 Vulputate StreetCraco</t>
  </si>
  <si>
    <t>7325 Ante St.Bo‘lhe</t>
  </si>
  <si>
    <t>P.O. Box 272, 511 Auctor. StreetAttert</t>
  </si>
  <si>
    <t>P.O. Box 226, 8432 Velit. St.Shimla</t>
  </si>
  <si>
    <t>1906 Risus. Rd.Trois-Rivi�res</t>
  </si>
  <si>
    <t>985-4342 Cubilia AvenueCertaldo</t>
  </si>
  <si>
    <t>Ap #678-1510 Sit AveSatara</t>
  </si>
  <si>
    <t>5297 Enim Av.Lillois-WitterzŽe</t>
  </si>
  <si>
    <t>P.O. Box 157, 6426 Pharetra St.Soledad de Graciano Sánchez</t>
  </si>
  <si>
    <t>Ap #356-1043 Faucibus. AvenueTilburg</t>
  </si>
  <si>
    <t>Ap #348-7659 Amet, Rd.Stroitel</t>
  </si>
  <si>
    <t>P.O. Box 200, 2885 Augue St.Ramsdonk</t>
  </si>
  <si>
    <t>P.O. Box 538, 3639 Eu St.Lennik</t>
  </si>
  <si>
    <t>P.O. Box 806, 7728 Risus. Rd.Comox</t>
  </si>
  <si>
    <t>P.O. Box 628, 2449 Vitae Rd.Marabá</t>
  </si>
  <si>
    <t>517-8038 Lobortis Rd.Acosse</t>
  </si>
  <si>
    <t>Ap #357-4688 Et, AvenueKidwelly</t>
  </si>
  <si>
    <t>8300 Est, St.Mira Bhayandar</t>
  </si>
  <si>
    <t>Ap #383-6557 Lorem. AveWiekevorst</t>
  </si>
  <si>
    <t>1637 Donec Av.Amritsar</t>
  </si>
  <si>
    <t>3938 Elit Rd.Gimpo</t>
  </si>
  <si>
    <t>9339 Porta Av.Alacant</t>
  </si>
  <si>
    <t>783-2617 Enim AvenueFokino</t>
  </si>
  <si>
    <t>461-8476 Lorem St.McCallum</t>
  </si>
  <si>
    <t>Ap #917-6090 Justo. AvenueSpringdale</t>
  </si>
  <si>
    <t>970-6132 Sodales RoadWilmont</t>
  </si>
  <si>
    <t>Ap #127-8250 Cras RoadOkpoko</t>
  </si>
  <si>
    <t>339-4772 Consectetuer Rd.Inveraray</t>
  </si>
  <si>
    <t>Ap #393-4811 Tempus Av.St. John's</t>
  </si>
  <si>
    <t>P.O. Box 448, 8358 Cras StreetBossire</t>
  </si>
  <si>
    <t>P.O. Box 714, 4608 Enim. St.Georgia</t>
  </si>
  <si>
    <t>897-1989 Morbi RoadChungju</t>
  </si>
  <si>
    <t>Ap #210-2530 Auctor AveCittanova</t>
  </si>
  <si>
    <t>113-2475 Eget Rd.Tampa</t>
  </si>
  <si>
    <t>P.O. Box 716, 1404 Pede. StreetStupino</t>
  </si>
  <si>
    <t>TON203</t>
  </si>
  <si>
    <t>AIR498</t>
  </si>
  <si>
    <t>EYE475</t>
  </si>
  <si>
    <t>FAX753</t>
  </si>
  <si>
    <t>GOD397</t>
  </si>
  <si>
    <t>TAX301</t>
  </si>
  <si>
    <t>LEG530</t>
  </si>
  <si>
    <t>PAT636</t>
  </si>
  <si>
    <t>PIN471</t>
  </si>
  <si>
    <t>SEA361</t>
  </si>
  <si>
    <t>DRY700</t>
  </si>
  <si>
    <t>GET181</t>
  </si>
  <si>
    <t>HUT868</t>
  </si>
  <si>
    <t>NEW338</t>
  </si>
  <si>
    <t>FAT148</t>
  </si>
  <si>
    <t>LAW460</t>
  </si>
  <si>
    <t>PIG278</t>
  </si>
  <si>
    <t>KIT610</t>
  </si>
  <si>
    <t>ACT198</t>
  </si>
  <si>
    <t>ERA637</t>
  </si>
  <si>
    <t>FUR690</t>
  </si>
  <si>
    <t>SEX538</t>
  </si>
  <si>
    <t>END864</t>
  </si>
  <si>
    <t>SPY143</t>
  </si>
  <si>
    <t>HIT702</t>
  </si>
  <si>
    <t>GAP606</t>
  </si>
  <si>
    <t>ART121</t>
  </si>
  <si>
    <t>JOB215</t>
  </si>
  <si>
    <t>VAT221</t>
  </si>
  <si>
    <t>DIE348</t>
  </si>
  <si>
    <t>JOY237</t>
  </si>
  <si>
    <t>SHY313</t>
  </si>
  <si>
    <t>TIP736</t>
  </si>
  <si>
    <t>SOW602</t>
  </si>
  <si>
    <t>HAY955</t>
  </si>
  <si>
    <t>CUP133</t>
  </si>
  <si>
    <t>DUE793</t>
  </si>
  <si>
    <t>LID486</t>
  </si>
  <si>
    <t>TAP659</t>
  </si>
  <si>
    <t>MAN264</t>
  </si>
  <si>
    <t>ADD736</t>
  </si>
  <si>
    <t>AGE360</t>
  </si>
  <si>
    <t>DIP334</t>
  </si>
  <si>
    <t>EAT605</t>
  </si>
  <si>
    <t>BAG587</t>
  </si>
  <si>
    <t>ANT371</t>
  </si>
  <si>
    <t>PIT955</t>
  </si>
  <si>
    <t>FEW754</t>
  </si>
  <si>
    <t>ROB871</t>
  </si>
  <si>
    <t>GUN153</t>
  </si>
  <si>
    <t>ASK392</t>
  </si>
  <si>
    <t>DOG562</t>
  </si>
  <si>
    <t>LEG580</t>
  </si>
  <si>
    <t>HAY257</t>
  </si>
  <si>
    <t>INN594</t>
  </si>
  <si>
    <t>TAX283</t>
  </si>
  <si>
    <t>PAY752</t>
  </si>
  <si>
    <t>TRY605</t>
  </si>
  <si>
    <t>BOW387</t>
  </si>
  <si>
    <t>WAY862</t>
  </si>
  <si>
    <t>OWL842</t>
  </si>
  <si>
    <t>GAP514</t>
  </si>
  <si>
    <t>EAT175</t>
  </si>
  <si>
    <t>FLU579</t>
  </si>
  <si>
    <t>MAN117</t>
  </si>
  <si>
    <t>EAR131</t>
  </si>
  <si>
    <t>GEM601</t>
  </si>
  <si>
    <t>SUM799</t>
  </si>
  <si>
    <t>TIN506</t>
  </si>
  <si>
    <t>HOT260</t>
  </si>
  <si>
    <t>PUT952</t>
  </si>
  <si>
    <t>EYE243</t>
  </si>
  <si>
    <t>PIN509</t>
  </si>
  <si>
    <t>GET287</t>
  </si>
  <si>
    <t>ADD737</t>
  </si>
  <si>
    <t>SIP986</t>
  </si>
  <si>
    <t>NEW547</t>
  </si>
  <si>
    <t>DRY692</t>
  </si>
  <si>
    <t>KIT741</t>
  </si>
  <si>
    <t>FAN419</t>
  </si>
  <si>
    <t>HIT735</t>
  </si>
  <si>
    <t>AID134</t>
  </si>
  <si>
    <t>FEE870</t>
  </si>
  <si>
    <t>JAW315</t>
  </si>
  <si>
    <t>MAP280</t>
  </si>
  <si>
    <t>WIN465</t>
  </si>
  <si>
    <t>MIX488</t>
  </si>
  <si>
    <t>OWE921</t>
  </si>
  <si>
    <t>END959</t>
  </si>
  <si>
    <t>BAY765</t>
  </si>
  <si>
    <t>BEG784</t>
  </si>
  <si>
    <t>SEE802</t>
  </si>
  <si>
    <t>NUN279</t>
  </si>
  <si>
    <t>DIE849</t>
  </si>
  <si>
    <t>SAY381</t>
  </si>
  <si>
    <t>FOX285</t>
  </si>
  <si>
    <t>TOP869</t>
  </si>
  <si>
    <t>PIE872</t>
  </si>
  <si>
    <t>PAT974</t>
  </si>
  <si>
    <t>ICE376</t>
  </si>
  <si>
    <t>lie</t>
  </si>
  <si>
    <t>rib</t>
  </si>
  <si>
    <t>bin</t>
  </si>
  <si>
    <t>bet</t>
  </si>
  <si>
    <t>car</t>
  </si>
  <si>
    <t>fit</t>
  </si>
  <si>
    <t>cow</t>
  </si>
  <si>
    <t>kid</t>
  </si>
  <si>
    <t>bat</t>
  </si>
  <si>
    <t>key</t>
  </si>
  <si>
    <t>gas</t>
  </si>
  <si>
    <t>oil</t>
  </si>
  <si>
    <t>bee</t>
  </si>
  <si>
    <t>row</t>
  </si>
  <si>
    <t>buy</t>
  </si>
  <si>
    <t>bar</t>
  </si>
  <si>
    <t>red</t>
  </si>
  <si>
    <t>cut</t>
  </si>
  <si>
    <t>cry</t>
  </si>
  <si>
    <t>set</t>
  </si>
  <si>
    <t>far</t>
  </si>
  <si>
    <t>old</t>
  </si>
  <si>
    <t>ego</t>
  </si>
  <si>
    <t>nut</t>
  </si>
  <si>
    <t>log</t>
  </si>
  <si>
    <t>low</t>
  </si>
  <si>
    <t>can</t>
  </si>
  <si>
    <t>oak</t>
  </si>
  <si>
    <t>ban</t>
  </si>
  <si>
    <t>lot</t>
  </si>
  <si>
    <t>mug</t>
  </si>
  <si>
    <t>jet</t>
  </si>
  <si>
    <t>fun</t>
  </si>
  <si>
    <t>cat</t>
  </si>
  <si>
    <t>pot</t>
  </si>
  <si>
    <t>use</t>
  </si>
  <si>
    <t>pen</t>
  </si>
  <si>
    <t>pop</t>
  </si>
  <si>
    <t>boy</t>
  </si>
  <si>
    <t>net</t>
  </si>
  <si>
    <t>LIE203</t>
  </si>
  <si>
    <t>DUE498</t>
  </si>
  <si>
    <t>RIB475</t>
  </si>
  <si>
    <t>EAT753</t>
  </si>
  <si>
    <t>BIN397</t>
  </si>
  <si>
    <t>PIG301</t>
  </si>
  <si>
    <t>TIP530</t>
  </si>
  <si>
    <t>SPY636</t>
  </si>
  <si>
    <t>PAN471</t>
  </si>
  <si>
    <t>BET361</t>
  </si>
  <si>
    <t>SAY700</t>
  </si>
  <si>
    <t>CAR181</t>
  </si>
  <si>
    <t>RAW868</t>
  </si>
  <si>
    <t>FLU338</t>
  </si>
  <si>
    <t>FIT148</t>
  </si>
  <si>
    <t>INN460</t>
  </si>
  <si>
    <t>COW278</t>
  </si>
  <si>
    <t>KID610</t>
  </si>
  <si>
    <t>HOT198</t>
  </si>
  <si>
    <t>BAT637</t>
  </si>
  <si>
    <t>KEY690</t>
  </si>
  <si>
    <t>GAS538</t>
  </si>
  <si>
    <t>KIT864</t>
  </si>
  <si>
    <t>OIL143</t>
  </si>
  <si>
    <t>BEE702</t>
  </si>
  <si>
    <t>OWE606</t>
  </si>
  <si>
    <t>ROW121</t>
  </si>
  <si>
    <t>TAX215</t>
  </si>
  <si>
    <t>BUY221</t>
  </si>
  <si>
    <t>BAR348</t>
  </si>
  <si>
    <t>ART237</t>
  </si>
  <si>
    <t>RED313</t>
  </si>
  <si>
    <t>PIN736</t>
  </si>
  <si>
    <t>CUT602</t>
  </si>
  <si>
    <t>CRY955</t>
  </si>
  <si>
    <t>SET133</t>
  </si>
  <si>
    <t>FAR793</t>
  </si>
  <si>
    <t>OLD486</t>
  </si>
  <si>
    <t>EGO659</t>
  </si>
  <si>
    <t>DOG264</t>
  </si>
  <si>
    <t>AGE736</t>
  </si>
  <si>
    <t>PAY360</t>
  </si>
  <si>
    <t>NUT334</t>
  </si>
  <si>
    <t>HAY605</t>
  </si>
  <si>
    <t>LOG587</t>
  </si>
  <si>
    <t>LOW371</t>
  </si>
  <si>
    <t>DIE955</t>
  </si>
  <si>
    <t>ERA754</t>
  </si>
  <si>
    <t>CAN871</t>
  </si>
  <si>
    <t>SIP153</t>
  </si>
  <si>
    <t>OAK392</t>
  </si>
  <si>
    <t>LAW562</t>
  </si>
  <si>
    <t>ADD580</t>
  </si>
  <si>
    <t>DRY257</t>
  </si>
  <si>
    <t>HAY594</t>
  </si>
  <si>
    <t>ART283</t>
  </si>
  <si>
    <t>INN752</t>
  </si>
  <si>
    <t>BAN605</t>
  </si>
  <si>
    <t>LOT387</t>
  </si>
  <si>
    <t>LIE862</t>
  </si>
  <si>
    <t>JAW842</t>
  </si>
  <si>
    <t>AID514</t>
  </si>
  <si>
    <t>SET175</t>
  </si>
  <si>
    <t>SUM579</t>
  </si>
  <si>
    <t>TRY117</t>
  </si>
  <si>
    <t>MUG131</t>
  </si>
  <si>
    <t>JET601</t>
  </si>
  <si>
    <t>PAN799</t>
  </si>
  <si>
    <t>NEW506</t>
  </si>
  <si>
    <t>FUN260</t>
  </si>
  <si>
    <t>CAT952</t>
  </si>
  <si>
    <t>POT243</t>
  </si>
  <si>
    <t>SHY509</t>
  </si>
  <si>
    <t>SIP287</t>
  </si>
  <si>
    <t>USE737</t>
  </si>
  <si>
    <t>BEG986</t>
  </si>
  <si>
    <t>MAP547</t>
  </si>
  <si>
    <t>ARM692</t>
  </si>
  <si>
    <t>ASK741</t>
  </si>
  <si>
    <t>LOG419</t>
  </si>
  <si>
    <t>NUT735</t>
  </si>
  <si>
    <t>PEN134</t>
  </si>
  <si>
    <t>ANT870</t>
  </si>
  <si>
    <t>FAX315</t>
  </si>
  <si>
    <t>ROB280</t>
  </si>
  <si>
    <t>HUT465</t>
  </si>
  <si>
    <t>POP488</t>
  </si>
  <si>
    <t>AIR921</t>
  </si>
  <si>
    <t>LID959</t>
  </si>
  <si>
    <t>WAR765</t>
  </si>
  <si>
    <t>JOY784</t>
  </si>
  <si>
    <t>BOY802</t>
  </si>
  <si>
    <t>ROW279</t>
  </si>
  <si>
    <t>PAY849</t>
  </si>
  <si>
    <t>FLU381</t>
  </si>
  <si>
    <t>GOD285</t>
  </si>
  <si>
    <t>PIT869</t>
  </si>
  <si>
    <t>NET872</t>
  </si>
  <si>
    <t>OIL974</t>
  </si>
  <si>
    <t>BOW376</t>
  </si>
  <si>
    <t>NameCategory</t>
  </si>
  <si>
    <t>IDCategory</t>
  </si>
  <si>
    <t>egg</t>
  </si>
  <si>
    <t>mud</t>
  </si>
  <si>
    <t>ash</t>
  </si>
  <si>
    <t>nap</t>
  </si>
  <si>
    <t>lay</t>
  </si>
  <si>
    <t>hen</t>
  </si>
  <si>
    <t>rub</t>
  </si>
  <si>
    <t>fix</t>
  </si>
  <si>
    <t>sun</t>
  </si>
  <si>
    <t>fly</t>
  </si>
  <si>
    <t>fog</t>
  </si>
  <si>
    <t>lip</t>
  </si>
  <si>
    <t>run</t>
  </si>
  <si>
    <t>tie</t>
  </si>
  <si>
    <t>sin</t>
  </si>
  <si>
    <t>bad</t>
  </si>
  <si>
    <t>bus</t>
  </si>
  <si>
    <t>bed</t>
  </si>
  <si>
    <t>cap</t>
  </si>
  <si>
    <t>CAR1000</t>
  </si>
  <si>
    <t>COW1001</t>
  </si>
  <si>
    <t>CUT1002</t>
  </si>
  <si>
    <t>WIN1003</t>
  </si>
  <si>
    <t>GEM1004</t>
  </si>
  <si>
    <t>EGG1005</t>
  </si>
  <si>
    <t>MUD1006</t>
  </si>
  <si>
    <t>TON1007</t>
  </si>
  <si>
    <t>ANT1008</t>
  </si>
  <si>
    <t>NUN1009</t>
  </si>
  <si>
    <t>TAX1010</t>
  </si>
  <si>
    <t>BAR1011</t>
  </si>
  <si>
    <t>BAN1012</t>
  </si>
  <si>
    <t>ASH1013</t>
  </si>
  <si>
    <t>NAP1014</t>
  </si>
  <si>
    <t>LAY1015</t>
  </si>
  <si>
    <t>HEN1016</t>
  </si>
  <si>
    <t>POT1017</t>
  </si>
  <si>
    <t>NEW1018</t>
  </si>
  <si>
    <t>PIG1019</t>
  </si>
  <si>
    <t>GOD1020</t>
  </si>
  <si>
    <t>RUB1021</t>
  </si>
  <si>
    <t>HAY1022</t>
  </si>
  <si>
    <t>BIN1023</t>
  </si>
  <si>
    <t>SET1024</t>
  </si>
  <si>
    <t>SUM1025</t>
  </si>
  <si>
    <t>TRY1026</t>
  </si>
  <si>
    <t>JET1027</t>
  </si>
  <si>
    <t>BOW1028</t>
  </si>
  <si>
    <t>FAX1029</t>
  </si>
  <si>
    <t>PIT1030</t>
  </si>
  <si>
    <t>OLD1031</t>
  </si>
  <si>
    <t>CAT1032</t>
  </si>
  <si>
    <t>ICE1033</t>
  </si>
  <si>
    <t>FUR1034</t>
  </si>
  <si>
    <t>NET1035</t>
  </si>
  <si>
    <t>FAN1036</t>
  </si>
  <si>
    <t>SIP1037</t>
  </si>
  <si>
    <t>ERA1038</t>
  </si>
  <si>
    <t>FIX1039</t>
  </si>
  <si>
    <t>FLU1040</t>
  </si>
  <si>
    <t>SEX1041</t>
  </si>
  <si>
    <t>OIL1042</t>
  </si>
  <si>
    <t>HUT1043</t>
  </si>
  <si>
    <t>SUN1044</t>
  </si>
  <si>
    <t>KIT1045</t>
  </si>
  <si>
    <t>FOX1046</t>
  </si>
  <si>
    <t>LAW1047</t>
  </si>
  <si>
    <t>FLY1048</t>
  </si>
  <si>
    <t>PIN1049</t>
  </si>
  <si>
    <t>PIE1050</t>
  </si>
  <si>
    <t>SAY1051</t>
  </si>
  <si>
    <t>TAX1052</t>
  </si>
  <si>
    <t>PAT1053</t>
  </si>
  <si>
    <t>FUN1054</t>
  </si>
  <si>
    <t>VAT1055</t>
  </si>
  <si>
    <t>WIN1056</t>
  </si>
  <si>
    <t>OAK1057</t>
  </si>
  <si>
    <t>FAN1058</t>
  </si>
  <si>
    <t>ANT1059</t>
  </si>
  <si>
    <t>EYE1060</t>
  </si>
  <si>
    <t>FOG1061</t>
  </si>
  <si>
    <t>EAR1062</t>
  </si>
  <si>
    <t>TOP1063</t>
  </si>
  <si>
    <t>RED1064</t>
  </si>
  <si>
    <t>DIE1065</t>
  </si>
  <si>
    <t>HIT1066</t>
  </si>
  <si>
    <t>CRY1067</t>
  </si>
  <si>
    <t>GAP1068</t>
  </si>
  <si>
    <t>DIP1069</t>
  </si>
  <si>
    <t>LEG1070</t>
  </si>
  <si>
    <t>PUT1071</t>
  </si>
  <si>
    <t>NUT1072</t>
  </si>
  <si>
    <t>PAY1073</t>
  </si>
  <si>
    <t>ROW1074</t>
  </si>
  <si>
    <t>OWE1075</t>
  </si>
  <si>
    <t>BET1076</t>
  </si>
  <si>
    <t>PIN1077</t>
  </si>
  <si>
    <t>ERA1078</t>
  </si>
  <si>
    <t>EAT1079</t>
  </si>
  <si>
    <t>LIP1080</t>
  </si>
  <si>
    <t>FAX1081</t>
  </si>
  <si>
    <t>MUD1082</t>
  </si>
  <si>
    <t>RUN1083</t>
  </si>
  <si>
    <t>GUN1084</t>
  </si>
  <si>
    <t>EGO1085</t>
  </si>
  <si>
    <t>ART1086</t>
  </si>
  <si>
    <t>AGE1087</t>
  </si>
  <si>
    <t>BEE1088</t>
  </si>
  <si>
    <t>SHY1089</t>
  </si>
  <si>
    <t>AIR1090</t>
  </si>
  <si>
    <t>SEA1091</t>
  </si>
  <si>
    <t>BUY1092</t>
  </si>
  <si>
    <t>TIE1093</t>
  </si>
  <si>
    <t>BAR1094</t>
  </si>
  <si>
    <t>NET1095</t>
  </si>
  <si>
    <t>SIN1096</t>
  </si>
  <si>
    <t>BAD1097</t>
  </si>
  <si>
    <t>LID1098</t>
  </si>
  <si>
    <t>TIN1099</t>
  </si>
  <si>
    <t>PIE1100</t>
  </si>
  <si>
    <t>SAY1101</t>
  </si>
  <si>
    <t>TAX1102</t>
  </si>
  <si>
    <t>PAT1103</t>
  </si>
  <si>
    <t>FUN1104</t>
  </si>
  <si>
    <t>VAT1105</t>
  </si>
  <si>
    <t>WIN1106</t>
  </si>
  <si>
    <t>OAK1107</t>
  </si>
  <si>
    <t>FAN1108</t>
  </si>
  <si>
    <t>ANT1109</t>
  </si>
  <si>
    <t>EYE1110</t>
  </si>
  <si>
    <t>FOG1111</t>
  </si>
  <si>
    <t>EAR1112</t>
  </si>
  <si>
    <t>TOP1113</t>
  </si>
  <si>
    <t>RED1114</t>
  </si>
  <si>
    <t>DIE1115</t>
  </si>
  <si>
    <t>HIT1116</t>
  </si>
  <si>
    <t>CRY1117</t>
  </si>
  <si>
    <t>GAP1118</t>
  </si>
  <si>
    <t>DIP1119</t>
  </si>
  <si>
    <t>LEG1120</t>
  </si>
  <si>
    <t>PUT1121</t>
  </si>
  <si>
    <t>NUT1122</t>
  </si>
  <si>
    <t>PAY1123</t>
  </si>
  <si>
    <t>ROW1124</t>
  </si>
  <si>
    <t>OWE1125</t>
  </si>
  <si>
    <t>BET1126</t>
  </si>
  <si>
    <t>PIN1127</t>
  </si>
  <si>
    <t>ERA1128</t>
  </si>
  <si>
    <t>EAT1129</t>
  </si>
  <si>
    <t>LIP1130</t>
  </si>
  <si>
    <t>FAX1131</t>
  </si>
  <si>
    <t>MUD1132</t>
  </si>
  <si>
    <t>RUN1133</t>
  </si>
  <si>
    <t>GUN1134</t>
  </si>
  <si>
    <t>EGO1135</t>
  </si>
  <si>
    <t>ART1136</t>
  </si>
  <si>
    <t>AGE1137</t>
  </si>
  <si>
    <t>BEE1138</t>
  </si>
  <si>
    <t>SHY1139</t>
  </si>
  <si>
    <t>AIR1140</t>
  </si>
  <si>
    <t>SEA1141</t>
  </si>
  <si>
    <t>BUY1142</t>
  </si>
  <si>
    <t>TIE1143</t>
  </si>
  <si>
    <t>BAR1144</t>
  </si>
  <si>
    <t>NET1145</t>
  </si>
  <si>
    <t>SIN1146</t>
  </si>
  <si>
    <t>BAD1147</t>
  </si>
  <si>
    <t>LID1148</t>
  </si>
  <si>
    <t>TIN1149</t>
  </si>
  <si>
    <t>POT1150</t>
  </si>
  <si>
    <t>LEG1151</t>
  </si>
  <si>
    <t>SEE1152</t>
  </si>
  <si>
    <t>PIG1153</t>
  </si>
  <si>
    <t>FAR1154</t>
  </si>
  <si>
    <t>OWE1155</t>
  </si>
  <si>
    <t>JOY1156</t>
  </si>
  <si>
    <t>FIT1157</t>
  </si>
  <si>
    <t>BOY1158</t>
  </si>
  <si>
    <t>LOG1159</t>
  </si>
  <si>
    <t>SUN1160</t>
  </si>
  <si>
    <t>RIB1161</t>
  </si>
  <si>
    <t>GAP1162</t>
  </si>
  <si>
    <t>NEW1163</t>
  </si>
  <si>
    <t>LOW1164</t>
  </si>
  <si>
    <t>POP1165</t>
  </si>
  <si>
    <t>MUG1166</t>
  </si>
  <si>
    <t>FOG1167</t>
  </si>
  <si>
    <t>BUS1168</t>
  </si>
  <si>
    <t>MAP1169</t>
  </si>
  <si>
    <t>AGE1170</t>
  </si>
  <si>
    <t>PIT1171</t>
  </si>
  <si>
    <t>MUD1172</t>
  </si>
  <si>
    <t>LIP1173</t>
  </si>
  <si>
    <t>LIE1174</t>
  </si>
  <si>
    <t>CAR1175</t>
  </si>
  <si>
    <t>ART1176</t>
  </si>
  <si>
    <t>BED1177</t>
  </si>
  <si>
    <t>PEN1178</t>
  </si>
  <si>
    <t>EGG1179</t>
  </si>
  <si>
    <t>TOP1180</t>
  </si>
  <si>
    <t>END1181</t>
  </si>
  <si>
    <t>BAR1182</t>
  </si>
  <si>
    <t>EGO1183</t>
  </si>
  <si>
    <t>CAN1184</t>
  </si>
  <si>
    <t>BAT1185</t>
  </si>
  <si>
    <t>GET1186</t>
  </si>
  <si>
    <t>BUY1187</t>
  </si>
  <si>
    <t>ASK1188</t>
  </si>
  <si>
    <t>ADD1189</t>
  </si>
  <si>
    <t>JOB1190</t>
  </si>
  <si>
    <t>BET1191</t>
  </si>
  <si>
    <t>OAK1192</t>
  </si>
  <si>
    <t>SPY1193</t>
  </si>
  <si>
    <t>DUE1194</t>
  </si>
  <si>
    <t>CAT1195</t>
  </si>
  <si>
    <t>FEE1196</t>
  </si>
  <si>
    <t>FEW1197</t>
  </si>
  <si>
    <t>CAP1198</t>
  </si>
  <si>
    <t>SEA1199</t>
  </si>
  <si>
    <t>SI()</t>
  </si>
  <si>
    <t>IDclient</t>
  </si>
  <si>
    <t>van</t>
  </si>
  <si>
    <t>day</t>
  </si>
  <si>
    <t>hip</t>
  </si>
  <si>
    <t>SIN38</t>
  </si>
  <si>
    <t>FAX100</t>
  </si>
  <si>
    <t>NUN162</t>
  </si>
  <si>
    <t>FUR224</t>
  </si>
  <si>
    <t>ASH286</t>
  </si>
  <si>
    <t>PIE348</t>
  </si>
  <si>
    <t>TRY410</t>
  </si>
  <si>
    <t>RUN472</t>
  </si>
  <si>
    <t>VAN534</t>
  </si>
  <si>
    <t>GUN596</t>
  </si>
  <si>
    <t>FIT658</t>
  </si>
  <si>
    <t>EGO720</t>
  </si>
  <si>
    <t>GOD782</t>
  </si>
  <si>
    <t>RIB844</t>
  </si>
  <si>
    <t>HAY906</t>
  </si>
  <si>
    <t>OWE968</t>
  </si>
  <si>
    <t>PIG1030</t>
  </si>
  <si>
    <t>EAR1092</t>
  </si>
  <si>
    <t>CAN1154</t>
  </si>
  <si>
    <t>JOY1216</t>
  </si>
  <si>
    <t>USE1278</t>
  </si>
  <si>
    <t>HOT1340</t>
  </si>
  <si>
    <t>LOG1402</t>
  </si>
  <si>
    <t>LEG1464</t>
  </si>
  <si>
    <t>NET1526</t>
  </si>
  <si>
    <t>FEW1588</t>
  </si>
  <si>
    <t>CAP1650</t>
  </si>
  <si>
    <t>GAS1712</t>
  </si>
  <si>
    <t>ANT1774</t>
  </si>
  <si>
    <t>DRY1836</t>
  </si>
  <si>
    <t>NAP1898</t>
  </si>
  <si>
    <t>KIT1960</t>
  </si>
  <si>
    <t>ASK2022</t>
  </si>
  <si>
    <t>PAT2084</t>
  </si>
  <si>
    <t>HUT2146</t>
  </si>
  <si>
    <t>BUS2208</t>
  </si>
  <si>
    <t>BAN2270</t>
  </si>
  <si>
    <t>FIX2332</t>
  </si>
  <si>
    <t>LOT2394</t>
  </si>
  <si>
    <t>MUG2456</t>
  </si>
  <si>
    <t>SEX2518</t>
  </si>
  <si>
    <t>LIE2580</t>
  </si>
  <si>
    <t>BEE2642</t>
  </si>
  <si>
    <t>DIE2704</t>
  </si>
  <si>
    <t>DAY2766</t>
  </si>
  <si>
    <t>PEN2828</t>
  </si>
  <si>
    <t>CAT2890</t>
  </si>
  <si>
    <t>DUE2952</t>
  </si>
  <si>
    <t>KID3014</t>
  </si>
  <si>
    <t>RUB3076</t>
  </si>
  <si>
    <t>VAN3138</t>
  </si>
  <si>
    <t>LOW3200</t>
  </si>
  <si>
    <t>MUD3262</t>
  </si>
  <si>
    <t>LOG3324</t>
  </si>
  <si>
    <t>DOG3386</t>
  </si>
  <si>
    <t>BIN3448</t>
  </si>
  <si>
    <t>ICE3510</t>
  </si>
  <si>
    <t>AGE3572</t>
  </si>
  <si>
    <t>DRY3634</t>
  </si>
  <si>
    <t>BAD3696</t>
  </si>
  <si>
    <t>BOY3758</t>
  </si>
  <si>
    <t>RUN3820</t>
  </si>
  <si>
    <t>RUB3882</t>
  </si>
  <si>
    <t>FAT3944</t>
  </si>
  <si>
    <t>LIE4006</t>
  </si>
  <si>
    <t>CUP4068</t>
  </si>
  <si>
    <t>SEE4130</t>
  </si>
  <si>
    <t>FEE4192</t>
  </si>
  <si>
    <t>BEG4254</t>
  </si>
  <si>
    <t>PIN4316</t>
  </si>
  <si>
    <t>POP4378</t>
  </si>
  <si>
    <t>FUR4440</t>
  </si>
  <si>
    <t>TOP4502</t>
  </si>
  <si>
    <t>POT4564</t>
  </si>
  <si>
    <t>RED4626</t>
  </si>
  <si>
    <t>SOW4688</t>
  </si>
  <si>
    <t>HIT4750</t>
  </si>
  <si>
    <t>DUE4812</t>
  </si>
  <si>
    <t>JOY4874</t>
  </si>
  <si>
    <t>GUN4936</t>
  </si>
  <si>
    <t>WAY4998</t>
  </si>
  <si>
    <t>WIN5060</t>
  </si>
  <si>
    <t>KEY5122</t>
  </si>
  <si>
    <t>GET5184</t>
  </si>
  <si>
    <t>BEE5246</t>
  </si>
  <si>
    <t>TAP5308</t>
  </si>
  <si>
    <t>SIP5370</t>
  </si>
  <si>
    <t>CAR5432</t>
  </si>
  <si>
    <t>BED5494</t>
  </si>
  <si>
    <t>VAT5556</t>
  </si>
  <si>
    <t>NUN5618</t>
  </si>
  <si>
    <t>AID5680</t>
  </si>
  <si>
    <t>SEX5742</t>
  </si>
  <si>
    <t>PIE5804</t>
  </si>
  <si>
    <t>LOT5866</t>
  </si>
  <si>
    <t>FEW5928</t>
  </si>
  <si>
    <t>EAR5990</t>
  </si>
  <si>
    <t>HIP6052</t>
  </si>
  <si>
    <t>MAN6114</t>
  </si>
  <si>
    <t>GOD6176</t>
  </si>
  <si>
    <t>VAN6238</t>
  </si>
  <si>
    <t>LOW6300</t>
  </si>
  <si>
    <t>MUD6362</t>
  </si>
  <si>
    <t>LOG6424</t>
  </si>
  <si>
    <t>DOG6486</t>
  </si>
  <si>
    <t>BIN6548</t>
  </si>
  <si>
    <t>ICE6610</t>
  </si>
  <si>
    <t>AGE6672</t>
  </si>
  <si>
    <t>DRY6734</t>
  </si>
  <si>
    <t>BAD6796</t>
  </si>
  <si>
    <t>BOY6858</t>
  </si>
  <si>
    <t>RUN6920</t>
  </si>
  <si>
    <t>RUB6982</t>
  </si>
  <si>
    <t>FAT7044</t>
  </si>
  <si>
    <t>LIE7106</t>
  </si>
  <si>
    <t>CUP7168</t>
  </si>
  <si>
    <t>SEE7230</t>
  </si>
  <si>
    <t>FEE7292</t>
  </si>
  <si>
    <t>BEG7354</t>
  </si>
  <si>
    <t>PIN7416</t>
  </si>
  <si>
    <t>POP7478</t>
  </si>
  <si>
    <t>FUR7540</t>
  </si>
  <si>
    <t>TOP7602</t>
  </si>
  <si>
    <t>POT7664</t>
  </si>
  <si>
    <t>RED7726</t>
  </si>
  <si>
    <t>SOW7788</t>
  </si>
  <si>
    <t>HIT7850</t>
  </si>
  <si>
    <t>DUE7912</t>
  </si>
  <si>
    <t>JOY7974</t>
  </si>
  <si>
    <t>GUN8036</t>
  </si>
  <si>
    <t>WAY8098</t>
  </si>
  <si>
    <t>WIN8160</t>
  </si>
  <si>
    <t>KEY8222</t>
  </si>
  <si>
    <t>GET8284</t>
  </si>
  <si>
    <t>BEE8346</t>
  </si>
  <si>
    <t>TAP8408</t>
  </si>
  <si>
    <t>SIP8470</t>
  </si>
  <si>
    <t>CAR8532</t>
  </si>
  <si>
    <t>BED8594</t>
  </si>
  <si>
    <t>VAT8656</t>
  </si>
  <si>
    <t>NUN8718</t>
  </si>
  <si>
    <t>AID8780</t>
  </si>
  <si>
    <t>SEX8842</t>
  </si>
  <si>
    <t>PIE8904</t>
  </si>
  <si>
    <t>LOT8966</t>
  </si>
  <si>
    <t>FEW9028</t>
  </si>
  <si>
    <t>EAR9090</t>
  </si>
  <si>
    <t>HIP9152</t>
  </si>
  <si>
    <t>MAN9214</t>
  </si>
  <si>
    <t>GOD9276</t>
  </si>
  <si>
    <t>A123</t>
  </si>
  <si>
    <t>B129</t>
  </si>
  <si>
    <t>C135</t>
  </si>
  <si>
    <t>D141</t>
  </si>
  <si>
    <t>E147</t>
  </si>
  <si>
    <t>C153</t>
  </si>
  <si>
    <t>A159</t>
  </si>
  <si>
    <t>B165</t>
  </si>
  <si>
    <t>C171</t>
  </si>
  <si>
    <t>A177</t>
  </si>
  <si>
    <t>B183</t>
  </si>
  <si>
    <t>C189</t>
  </si>
  <si>
    <t>D195</t>
  </si>
  <si>
    <t>E201</t>
  </si>
  <si>
    <t>C207</t>
  </si>
  <si>
    <t>A213</t>
  </si>
  <si>
    <t>B219</t>
  </si>
  <si>
    <t>C225</t>
  </si>
  <si>
    <t>A231</t>
  </si>
  <si>
    <t>B237</t>
  </si>
  <si>
    <t>C243</t>
  </si>
  <si>
    <t>D249</t>
  </si>
  <si>
    <t>E255</t>
  </si>
  <si>
    <t>C261</t>
  </si>
  <si>
    <t>A267</t>
  </si>
  <si>
    <t>B273</t>
  </si>
  <si>
    <t>C279</t>
  </si>
  <si>
    <t>A285</t>
  </si>
  <si>
    <t>B291</t>
  </si>
  <si>
    <t>C297</t>
  </si>
  <si>
    <t>D303</t>
  </si>
  <si>
    <t>E309</t>
  </si>
  <si>
    <t>C315</t>
  </si>
  <si>
    <t>A321</t>
  </si>
  <si>
    <t>B327</t>
  </si>
  <si>
    <t>C333</t>
  </si>
  <si>
    <t>A339</t>
  </si>
  <si>
    <t>B345</t>
  </si>
  <si>
    <t>C351</t>
  </si>
  <si>
    <t>D357</t>
  </si>
  <si>
    <t>E363</t>
  </si>
  <si>
    <t>C369</t>
  </si>
  <si>
    <t>A375</t>
  </si>
  <si>
    <t>B381</t>
  </si>
  <si>
    <t>C387</t>
  </si>
  <si>
    <t>A393</t>
  </si>
  <si>
    <t>B399</t>
  </si>
  <si>
    <t>C405</t>
  </si>
  <si>
    <t>D411</t>
  </si>
  <si>
    <t>E417</t>
  </si>
  <si>
    <t>C423</t>
  </si>
  <si>
    <t>A429</t>
  </si>
  <si>
    <t>B435</t>
  </si>
  <si>
    <t>C441</t>
  </si>
  <si>
    <t>A447</t>
  </si>
  <si>
    <t>B453</t>
  </si>
  <si>
    <t>C459</t>
  </si>
  <si>
    <t>D465</t>
  </si>
  <si>
    <t>E471</t>
  </si>
  <si>
    <t>C477</t>
  </si>
  <si>
    <t>A483</t>
  </si>
  <si>
    <t>B489</t>
  </si>
  <si>
    <t>C495</t>
  </si>
  <si>
    <t>A501</t>
  </si>
  <si>
    <t>B507</t>
  </si>
  <si>
    <t>C513</t>
  </si>
  <si>
    <t>D519</t>
  </si>
  <si>
    <t>E525</t>
  </si>
  <si>
    <t>C531</t>
  </si>
  <si>
    <t>A537</t>
  </si>
  <si>
    <t>B543</t>
  </si>
  <si>
    <t>C549</t>
  </si>
  <si>
    <t>A555</t>
  </si>
  <si>
    <t>B561</t>
  </si>
  <si>
    <t>C567</t>
  </si>
  <si>
    <t>D573</t>
  </si>
  <si>
    <t>E579</t>
  </si>
  <si>
    <t>C585</t>
  </si>
  <si>
    <t>A591</t>
  </si>
  <si>
    <t>B597</t>
  </si>
  <si>
    <t>C603</t>
  </si>
  <si>
    <t>A609</t>
  </si>
  <si>
    <t>B615</t>
  </si>
  <si>
    <t>C621</t>
  </si>
  <si>
    <t>D627</t>
  </si>
  <si>
    <t>E633</t>
  </si>
  <si>
    <t>C639</t>
  </si>
  <si>
    <t>A645</t>
  </si>
  <si>
    <t>B651</t>
  </si>
  <si>
    <t>C657</t>
  </si>
  <si>
    <t>A663</t>
  </si>
  <si>
    <t>B669</t>
  </si>
  <si>
    <t>C675</t>
  </si>
  <si>
    <t>D681</t>
  </si>
  <si>
    <t>E687</t>
  </si>
  <si>
    <t>C693</t>
  </si>
  <si>
    <t>A699</t>
  </si>
  <si>
    <t>B705</t>
  </si>
  <si>
    <t>C711</t>
  </si>
  <si>
    <t>A717</t>
  </si>
  <si>
    <t>B723</t>
  </si>
  <si>
    <t>C729</t>
  </si>
  <si>
    <t>D735</t>
  </si>
  <si>
    <t>E741</t>
  </si>
  <si>
    <t>C747</t>
  </si>
  <si>
    <t>A753</t>
  </si>
  <si>
    <t>B759</t>
  </si>
  <si>
    <t>C765</t>
  </si>
  <si>
    <t>A771</t>
  </si>
  <si>
    <t>B777</t>
  </si>
  <si>
    <t>C783</t>
  </si>
  <si>
    <t>D789</t>
  </si>
  <si>
    <t>E795</t>
  </si>
  <si>
    <t>C801</t>
  </si>
  <si>
    <t>A807</t>
  </si>
  <si>
    <t>B813</t>
  </si>
  <si>
    <t>C819</t>
  </si>
  <si>
    <t>A825</t>
  </si>
  <si>
    <t>B831</t>
  </si>
  <si>
    <t>C837</t>
  </si>
  <si>
    <t>D843</t>
  </si>
  <si>
    <t>E849</t>
  </si>
  <si>
    <t>C855</t>
  </si>
  <si>
    <t>A861</t>
  </si>
  <si>
    <t>B867</t>
  </si>
  <si>
    <t>C873</t>
  </si>
  <si>
    <t>A879</t>
  </si>
  <si>
    <t>B885</t>
  </si>
  <si>
    <t>C891</t>
  </si>
  <si>
    <t>D897</t>
  </si>
  <si>
    <t>E903</t>
  </si>
  <si>
    <t>C909</t>
  </si>
  <si>
    <t>A915</t>
  </si>
  <si>
    <t>B921</t>
  </si>
  <si>
    <t>C927</t>
  </si>
  <si>
    <t>A933</t>
  </si>
  <si>
    <t>B939</t>
  </si>
  <si>
    <t>C945</t>
  </si>
  <si>
    <t>D951</t>
  </si>
  <si>
    <t>E957</t>
  </si>
  <si>
    <t>C963</t>
  </si>
  <si>
    <t>A969</t>
  </si>
  <si>
    <t>B975</t>
  </si>
  <si>
    <t>C981</t>
  </si>
  <si>
    <t>A987</t>
  </si>
  <si>
    <t>B993</t>
  </si>
  <si>
    <t>C999</t>
  </si>
  <si>
    <t>D1005</t>
  </si>
  <si>
    <t>E1011</t>
  </si>
  <si>
    <t>C1017</t>
  </si>
  <si>
    <t>A1023</t>
  </si>
  <si>
    <t>B1029</t>
  </si>
  <si>
    <t>C1035</t>
  </si>
  <si>
    <t>A1041</t>
  </si>
  <si>
    <t>B1047</t>
  </si>
  <si>
    <t>C1053</t>
  </si>
  <si>
    <t>D1059</t>
  </si>
  <si>
    <t>E1065</t>
  </si>
  <si>
    <t>C1071</t>
  </si>
  <si>
    <t>A1077</t>
  </si>
  <si>
    <t>B1083</t>
  </si>
  <si>
    <t>C1089</t>
  </si>
  <si>
    <t>A1095</t>
  </si>
  <si>
    <t>B1101</t>
  </si>
  <si>
    <t>C1107</t>
  </si>
  <si>
    <t>D1113</t>
  </si>
  <si>
    <t>E1119</t>
  </si>
  <si>
    <t>C1125</t>
  </si>
  <si>
    <t>A1131</t>
  </si>
  <si>
    <t>B1137</t>
  </si>
  <si>
    <t>C1143</t>
  </si>
  <si>
    <t>A1149</t>
  </si>
  <si>
    <t>B1155</t>
  </si>
  <si>
    <t>C1161</t>
  </si>
  <si>
    <t>D1167</t>
  </si>
  <si>
    <t>E1173</t>
  </si>
  <si>
    <t>C1179</t>
  </si>
  <si>
    <t>A1185</t>
  </si>
  <si>
    <t>B1191</t>
  </si>
  <si>
    <t>C1197</t>
  </si>
  <si>
    <t>A1203</t>
  </si>
  <si>
    <t>B1209</t>
  </si>
  <si>
    <t>C1215</t>
  </si>
  <si>
    <t>D1221</t>
  </si>
  <si>
    <t>E1227</t>
  </si>
  <si>
    <t>C1233</t>
  </si>
  <si>
    <t>A1239</t>
  </si>
  <si>
    <t>B1245</t>
  </si>
  <si>
    <t>C1251</t>
  </si>
  <si>
    <t>A1257</t>
  </si>
  <si>
    <t>B1263</t>
  </si>
  <si>
    <t>C1269</t>
  </si>
  <si>
    <t>D1275</t>
  </si>
  <si>
    <t>E1281</t>
  </si>
  <si>
    <t>C1287</t>
  </si>
  <si>
    <t>A1293</t>
  </si>
  <si>
    <t>B1299</t>
  </si>
  <si>
    <t>C1305</t>
  </si>
  <si>
    <t>A1311</t>
  </si>
  <si>
    <t>B1317</t>
  </si>
  <si>
    <t>Tirana</t>
  </si>
  <si>
    <t>Andorra la Vella</t>
  </si>
  <si>
    <t>Yerevan</t>
  </si>
  <si>
    <t>Vienna</t>
  </si>
  <si>
    <t>Baku</t>
  </si>
  <si>
    <t>Minsk</t>
  </si>
  <si>
    <t>Brussels</t>
  </si>
  <si>
    <t>Sarajevo</t>
  </si>
  <si>
    <t>Sofia</t>
  </si>
  <si>
    <t>Zagreb</t>
  </si>
  <si>
    <t>Nicosia</t>
  </si>
  <si>
    <t>Prague</t>
  </si>
  <si>
    <t>Copenhagen</t>
  </si>
  <si>
    <t>Tallinn</t>
  </si>
  <si>
    <t>Helsinki</t>
  </si>
  <si>
    <t>Tbilisi</t>
  </si>
  <si>
    <t>Berlin</t>
  </si>
  <si>
    <t>Athens</t>
  </si>
  <si>
    <t>Budapest</t>
  </si>
  <si>
    <t>Reykjavik</t>
  </si>
  <si>
    <t>Dublin</t>
  </si>
  <si>
    <t>Rome</t>
  </si>
  <si>
    <t>Nur-Sultan</t>
  </si>
  <si>
    <t>Pristina</t>
  </si>
  <si>
    <t>Riga</t>
  </si>
  <si>
    <t>Vaduz</t>
  </si>
  <si>
    <t>Vilnius</t>
  </si>
  <si>
    <t>Luxembourg (city)</t>
  </si>
  <si>
    <t>Valletta</t>
  </si>
  <si>
    <t>Chisinau</t>
  </si>
  <si>
    <t>Monaco</t>
  </si>
  <si>
    <t>Podgorica</t>
  </si>
  <si>
    <t>Amsterdam</t>
  </si>
  <si>
    <t>Skopje</t>
  </si>
  <si>
    <t>Oslo</t>
  </si>
  <si>
    <t>Warsaw</t>
  </si>
  <si>
    <t>Lisbon</t>
  </si>
  <si>
    <t>Bucharest</t>
  </si>
  <si>
    <t>Moscow</t>
  </si>
  <si>
    <t>San Marino</t>
  </si>
  <si>
    <t>Belgrade</t>
  </si>
  <si>
    <t>Bratislava</t>
  </si>
  <si>
    <t>Ljubljana</t>
  </si>
  <si>
    <t>Madrid</t>
  </si>
  <si>
    <t>Stockholm</t>
  </si>
  <si>
    <t>Bern</t>
  </si>
  <si>
    <t>Ankara</t>
  </si>
  <si>
    <t>Vatican City</t>
  </si>
  <si>
    <t xml:space="preserve">Kyiv </t>
  </si>
  <si>
    <t>Abandoned luggage</t>
  </si>
  <si>
    <t>Storm</t>
  </si>
  <si>
    <t>Technical problem</t>
  </si>
  <si>
    <t>Abidjan</t>
  </si>
  <si>
    <t xml:space="preserve"> Ivory Coast</t>
  </si>
  <si>
    <t>ABJ</t>
  </si>
  <si>
    <t>DIAP</t>
  </si>
  <si>
    <t>Port Bouet Airport † #</t>
  </si>
  <si>
    <t>[3]:46</t>
  </si>
  <si>
    <t>Abu Dhabi</t>
  </si>
  <si>
    <t xml:space="preserve"> United Arab Emirates</t>
  </si>
  <si>
    <t>AUH</t>
  </si>
  <si>
    <t>OMAA</t>
  </si>
  <si>
    <t>Abu Dhabi International Airport</t>
  </si>
  <si>
    <t>[5]</t>
  </si>
  <si>
    <t>Accra</t>
  </si>
  <si>
    <t xml:space="preserve"> Ghana</t>
  </si>
  <si>
    <t>ACC</t>
  </si>
  <si>
    <t>DGAA</t>
  </si>
  <si>
    <t>Kotoka International Airport</t>
  </si>
  <si>
    <t>[6]</t>
  </si>
  <si>
    <t xml:space="preserve"> Greece</t>
  </si>
  <si>
    <t>ATH</t>
  </si>
  <si>
    <t>LGAT</t>
  </si>
  <si>
    <t>Ellinikon International Airport #</t>
  </si>
  <si>
    <t>Bamako</t>
  </si>
  <si>
    <t xml:space="preserve"> Mali</t>
  </si>
  <si>
    <t>BKO</t>
  </si>
  <si>
    <t>GABS</t>
  </si>
  <si>
    <t>Senou International Airport #</t>
  </si>
  <si>
    <t>Bangui</t>
  </si>
  <si>
    <t xml:space="preserve"> Central African Republic</t>
  </si>
  <si>
    <t>BGF</t>
  </si>
  <si>
    <t>FEFF</t>
  </si>
  <si>
    <t>Bangui M'Poko International Airport #</t>
  </si>
  <si>
    <t>Banjul</t>
  </si>
  <si>
    <t xml:space="preserve"> Gambia</t>
  </si>
  <si>
    <t>BJL</t>
  </si>
  <si>
    <t>GBYD</t>
  </si>
  <si>
    <t>Banjul International Airport #</t>
  </si>
  <si>
    <t>Batouri</t>
  </si>
  <si>
    <t xml:space="preserve"> Cameroon</t>
  </si>
  <si>
    <t>OUR</t>
  </si>
  <si>
    <t>FKKI</t>
  </si>
  <si>
    <t>Batouri Airport</t>
  </si>
  <si>
    <t>[7]</t>
  </si>
  <si>
    <t>Beirut</t>
  </si>
  <si>
    <t xml:space="preserve"> Lebanon</t>
  </si>
  <si>
    <t>BEY</t>
  </si>
  <si>
    <t>OLBA</t>
  </si>
  <si>
    <t>Beirut–Rafic Hariri International Airport</t>
  </si>
  <si>
    <t>Bissau</t>
  </si>
  <si>
    <t xml:space="preserve"> Guinea-Bissau</t>
  </si>
  <si>
    <t>OXB</t>
  </si>
  <si>
    <t>GGOV</t>
  </si>
  <si>
    <t>Osvaldo Vieira International Airport</t>
  </si>
  <si>
    <t>Bobo-Dioulasso</t>
  </si>
  <si>
    <t xml:space="preserve"> Burkina Faso</t>
  </si>
  <si>
    <t>BOY</t>
  </si>
  <si>
    <t>DFOO</t>
  </si>
  <si>
    <t>Bobo Dioulasso Airport</t>
  </si>
  <si>
    <t>[8]</t>
  </si>
  <si>
    <t>Bordeaux</t>
  </si>
  <si>
    <t xml:space="preserve"> France</t>
  </si>
  <si>
    <t>BOD</t>
  </si>
  <si>
    <t>LFBD</t>
  </si>
  <si>
    <t>Bordeaux–Mérignac Airport</t>
  </si>
  <si>
    <t>Brazzaville</t>
  </si>
  <si>
    <t xml:space="preserve"> Republic of the Congo</t>
  </si>
  <si>
    <t>BZV</t>
  </si>
  <si>
    <t>FCBB</t>
  </si>
  <si>
    <t>Maya-Maya Airport #</t>
  </si>
  <si>
    <t>Casablanca</t>
  </si>
  <si>
    <t xml:space="preserve"> Morocco</t>
  </si>
  <si>
    <t>CMN</t>
  </si>
  <si>
    <t>GMMN</t>
  </si>
  <si>
    <t>Mohammed V International Airport #</t>
  </si>
  <si>
    <t>Conakry</t>
  </si>
  <si>
    <t xml:space="preserve"> Guinea</t>
  </si>
  <si>
    <t>CKY</t>
  </si>
  <si>
    <t>GUCY</t>
  </si>
  <si>
    <t>Conakry International Airport</t>
  </si>
  <si>
    <t>Cotonou</t>
  </si>
  <si>
    <t xml:space="preserve"> Benin</t>
  </si>
  <si>
    <t>COO</t>
  </si>
  <si>
    <t>DBBB</t>
  </si>
  <si>
    <t>Cadjehoun Airport #</t>
  </si>
  <si>
    <t>Dakar</t>
  </si>
  <si>
    <t xml:space="preserve"> Senegal</t>
  </si>
  <si>
    <t>DKR</t>
  </si>
  <si>
    <t>GOOY</t>
  </si>
  <si>
    <t>Léopold Sédar Senghor International Airport ‡ #</t>
  </si>
  <si>
    <t>Douala</t>
  </si>
  <si>
    <t>DLA</t>
  </si>
  <si>
    <t>FKKD</t>
  </si>
  <si>
    <t>Douala International Airport #</t>
  </si>
  <si>
    <t>Freetown</t>
  </si>
  <si>
    <t xml:space="preserve"> Sierra Leone</t>
  </si>
  <si>
    <t>FNA</t>
  </si>
  <si>
    <t>GFLL</t>
  </si>
  <si>
    <t>Lungi International Airport</t>
  </si>
  <si>
    <t>[9]</t>
  </si>
  <si>
    <t>Garoua</t>
  </si>
  <si>
    <t>GOU</t>
  </si>
  <si>
    <t>FKKR</t>
  </si>
  <si>
    <t>Garoua International Airport</t>
  </si>
  <si>
    <t>Geneva</t>
  </si>
  <si>
    <t xml:space="preserve">  Switzerland</t>
  </si>
  <si>
    <t>GVA</t>
  </si>
  <si>
    <t>LSGG</t>
  </si>
  <si>
    <t>Geneva International Airport #</t>
  </si>
  <si>
    <t>Jeddah</t>
  </si>
  <si>
    <t xml:space="preserve"> Saudi Arabia</t>
  </si>
  <si>
    <t>JED</t>
  </si>
  <si>
    <t>OEJN</t>
  </si>
  <si>
    <t>King Abdulaziz International Airport</t>
  </si>
  <si>
    <t>Johannesburg</t>
  </si>
  <si>
    <t xml:space="preserve"> South Africa</t>
  </si>
  <si>
    <t>JNB</t>
  </si>
  <si>
    <t>FAJS</t>
  </si>
  <si>
    <t>OR Tambo International Airport</t>
  </si>
  <si>
    <t>Kano</t>
  </si>
  <si>
    <t xml:space="preserve"> Nigeria</t>
  </si>
  <si>
    <t>KAN</t>
  </si>
  <si>
    <t>DNKN</t>
  </si>
  <si>
    <t>Mallam Aminu Kano International Airport</t>
  </si>
  <si>
    <t>Kinshasa</t>
  </si>
  <si>
    <t xml:space="preserve"> Democratic Republic of the Congo</t>
  </si>
  <si>
    <t>FIH</t>
  </si>
  <si>
    <t>FZAA</t>
  </si>
  <si>
    <t>N'djili Airport</t>
  </si>
  <si>
    <t>Lagos</t>
  </si>
  <si>
    <t>LOS</t>
  </si>
  <si>
    <t>DNMM</t>
  </si>
  <si>
    <t>Murtala Mohammed International Airport</t>
  </si>
  <si>
    <t>Las Palmas de Gran Canaria</t>
  </si>
  <si>
    <t xml:space="preserve"> Spain</t>
  </si>
  <si>
    <t>LPA</t>
  </si>
  <si>
    <t>GCLP</t>
  </si>
  <si>
    <t>Gran Canaria Airport</t>
  </si>
  <si>
    <t>[10]</t>
  </si>
  <si>
    <t>Libreville</t>
  </si>
  <si>
    <t xml:space="preserve"> Gabon</t>
  </si>
  <si>
    <t>LBV</t>
  </si>
  <si>
    <t>FOOL</t>
  </si>
  <si>
    <t>Libreville International Airport #</t>
  </si>
  <si>
    <t xml:space="preserve"> Portugal</t>
  </si>
  <si>
    <t>LIS</t>
  </si>
  <si>
    <t>LPPT</t>
  </si>
  <si>
    <t>Lisbon Portela Airport</t>
  </si>
  <si>
    <t>Lomé</t>
  </si>
  <si>
    <t xml:space="preserve"> Togo</t>
  </si>
  <si>
    <t>LFW</t>
  </si>
  <si>
    <t>DXXX</t>
  </si>
  <si>
    <t>Lomé-Tokoin Airport #</t>
  </si>
  <si>
    <t xml:space="preserve"> United Kingdom</t>
  </si>
  <si>
    <t>LGW</t>
  </si>
  <si>
    <t>EGKK</t>
  </si>
  <si>
    <t>Gatwick Airport</t>
  </si>
  <si>
    <t>[citation needed]</t>
  </si>
  <si>
    <t>LHR</t>
  </si>
  <si>
    <t>EGLL</t>
  </si>
  <si>
    <t>Heathrow Airport</t>
  </si>
  <si>
    <t>Lyon</t>
  </si>
  <si>
    <t>LYS</t>
  </si>
  <si>
    <t>LFLL</t>
  </si>
  <si>
    <t>Lyon-Saint Exupéry Airport</t>
  </si>
  <si>
    <t>Malabo</t>
  </si>
  <si>
    <t xml:space="preserve"> Equatorial Guinea</t>
  </si>
  <si>
    <t>SSG</t>
  </si>
  <si>
    <t>FGSL</t>
  </si>
  <si>
    <t>Malabo International Airport</t>
  </si>
  <si>
    <t>Maroua</t>
  </si>
  <si>
    <t>MVR</t>
  </si>
  <si>
    <t>FKKL</t>
  </si>
  <si>
    <t>Salak Airport</t>
  </si>
  <si>
    <t>MRS</t>
  </si>
  <si>
    <t>LFML</t>
  </si>
  <si>
    <t>Marseille Provence Airport #</t>
  </si>
  <si>
    <t>Monrovia</t>
  </si>
  <si>
    <t xml:space="preserve"> Liberia</t>
  </si>
  <si>
    <t>ROB</t>
  </si>
  <si>
    <t>GLRB</t>
  </si>
  <si>
    <t>Roberts International Airport</t>
  </si>
  <si>
    <t>N'Djamena</t>
  </si>
  <si>
    <t xml:space="preserve"> Chad</t>
  </si>
  <si>
    <t>NDJ</t>
  </si>
  <si>
    <t>FTTJ</t>
  </si>
  <si>
    <t>N'Djamena International Airport #</t>
  </si>
  <si>
    <t>Nairobi</t>
  </si>
  <si>
    <t xml:space="preserve"> Kenya</t>
  </si>
  <si>
    <t>NBO</t>
  </si>
  <si>
    <t>HKJK</t>
  </si>
  <si>
    <t>Jomo Kenyatta International Airport</t>
  </si>
  <si>
    <t xml:space="preserve"> United States</t>
  </si>
  <si>
    <t>JFK</t>
  </si>
  <si>
    <t>KJFK</t>
  </si>
  <si>
    <t>John F. Kennedy International Airport #</t>
  </si>
  <si>
    <t>[3]:46[9]</t>
  </si>
  <si>
    <t>Ngaoundéré</t>
  </si>
  <si>
    <t>NGE</t>
  </si>
  <si>
    <t>FKKN</t>
  </si>
  <si>
    <t>Ngaoundéré Airport</t>
  </si>
  <si>
    <t>Niamey</t>
  </si>
  <si>
    <t xml:space="preserve"> Niger</t>
  </si>
  <si>
    <t>NIM</t>
  </si>
  <si>
    <t>DRRN</t>
  </si>
  <si>
    <t>Diori Hamani International Airport #</t>
  </si>
  <si>
    <t>Nice</t>
  </si>
  <si>
    <t>NCE</t>
  </si>
  <si>
    <t>LFMN</t>
  </si>
  <si>
    <t>Nice Côte d'Azur Airport</t>
  </si>
  <si>
    <t>Nouadhibou</t>
  </si>
  <si>
    <t xml:space="preserve"> Mauritania</t>
  </si>
  <si>
    <t>NDB</t>
  </si>
  <si>
    <t>GQPP</t>
  </si>
  <si>
    <t>Nouadhibou International Airport</t>
  </si>
  <si>
    <t>[11]</t>
  </si>
  <si>
    <t>Nouakchott</t>
  </si>
  <si>
    <t>NKC</t>
  </si>
  <si>
    <t>GQNN</t>
  </si>
  <si>
    <t>Nouakchott International Airport #</t>
  </si>
  <si>
    <t>Ouagadougou</t>
  </si>
  <si>
    <t>OUA</t>
  </si>
  <si>
    <t>DFFD</t>
  </si>
  <si>
    <t>Ouagadougou Airport #</t>
  </si>
  <si>
    <t>CDG</t>
  </si>
  <si>
    <t>LFPG</t>
  </si>
  <si>
    <t>Charles de Gaulle Airport #</t>
  </si>
  <si>
    <t>LBG</t>
  </si>
  <si>
    <t>LFPB</t>
  </si>
  <si>
    <t>Le Bourget Airport</t>
  </si>
  <si>
    <t>Pointe Noire</t>
  </si>
  <si>
    <t>PNR</t>
  </si>
  <si>
    <t>FCPP</t>
  </si>
  <si>
    <t>Pointe Noire Airport #</t>
  </si>
  <si>
    <t>Port-Gentil</t>
  </si>
  <si>
    <t>POG</t>
  </si>
  <si>
    <t>FOOG</t>
  </si>
  <si>
    <t>Port-Gentil International Airport</t>
  </si>
  <si>
    <t xml:space="preserve"> Italy</t>
  </si>
  <si>
    <t>FCO</t>
  </si>
  <si>
    <t>LIRF</t>
  </si>
  <si>
    <t>Leonardo da Vinci-Fiumicino Airport #</t>
  </si>
  <si>
    <t>Saint-Louis</t>
  </si>
  <si>
    <t>XLS</t>
  </si>
  <si>
    <t>GOSS</t>
  </si>
  <si>
    <t>Saint-Louis Airport</t>
  </si>
  <si>
    <t>Yagoua</t>
  </si>
  <si>
    <t>GXX</t>
  </si>
  <si>
    <t>FKKJ</t>
  </si>
  <si>
    <t>Yagoua Airport</t>
  </si>
  <si>
    <t>Yaoundé</t>
  </si>
  <si>
    <t>NSI</t>
  </si>
  <si>
    <t>FKYS</t>
  </si>
  <si>
    <t>Yaoundé Nsimalen International Airport</t>
  </si>
  <si>
    <t>Zurich</t>
  </si>
  <si>
    <t>ZRH</t>
  </si>
  <si>
    <t>LSZH</t>
  </si>
  <si>
    <t>Kloten Airport</t>
  </si>
  <si>
    <t>Leonardo da Vinci-Fiumicino Airport</t>
  </si>
  <si>
    <t>Pointe Noire Airport</t>
  </si>
  <si>
    <t>Charles de Gaulle Airport</t>
  </si>
  <si>
    <t>Ouagadougou Airport</t>
  </si>
  <si>
    <t>Nouakchott International Airport</t>
  </si>
  <si>
    <t>Diori Hamani International Airport</t>
  </si>
  <si>
    <t>John F. Kennedy International Airport</t>
  </si>
  <si>
    <t>N'Djamena International Airport</t>
  </si>
  <si>
    <t>Marseille Provence Airport</t>
  </si>
  <si>
    <t>Lomé-Tokoin Airport</t>
  </si>
  <si>
    <t>Libreville International Airport</t>
  </si>
  <si>
    <t>Geneva International Airport</t>
  </si>
  <si>
    <t>Douala International Airport</t>
  </si>
  <si>
    <t>Léopold Sédar Senghor International Airport</t>
  </si>
  <si>
    <t>Cadjehoun Airport</t>
  </si>
  <si>
    <t>Mohammed V International Airport</t>
  </si>
  <si>
    <t>Maya-Maya Airport</t>
  </si>
  <si>
    <t>Banjul International Airport</t>
  </si>
  <si>
    <t>Bangui M'Poko International Airport</t>
  </si>
  <si>
    <t>Senou International Airport</t>
  </si>
  <si>
    <t>Ellinikon International Airport</t>
  </si>
  <si>
    <t>Port Bouet Airport</t>
  </si>
  <si>
    <t>United Arab Emirates</t>
  </si>
  <si>
    <t>Green tick</t>
  </si>
  <si>
    <t>[2]</t>
  </si>
  <si>
    <t>Adelaide</t>
  </si>
  <si>
    <t>Australia</t>
  </si>
  <si>
    <t>ADL</t>
  </si>
  <si>
    <t>YPAD</t>
  </si>
  <si>
    <t>Adelaide Airport</t>
  </si>
  <si>
    <t>[3][4]</t>
  </si>
  <si>
    <t>Ahmedabad</t>
  </si>
  <si>
    <t>India</t>
  </si>
  <si>
    <t>AMD</t>
  </si>
  <si>
    <t>VAAH</t>
  </si>
  <si>
    <t>Sardar Vallabhbhai Patel International Airport</t>
  </si>
  <si>
    <t>Yes</t>
  </si>
  <si>
    <t>Agartala</t>
  </si>
  <si>
    <t>IXA</t>
  </si>
  <si>
    <t>VEAT</t>
  </si>
  <si>
    <t>Maharaja Bir Bikram Airport</t>
  </si>
  <si>
    <t>Alor Setar</t>
  </si>
  <si>
    <t>Malaysia</t>
  </si>
  <si>
    <t>AOR</t>
  </si>
  <si>
    <t>WMKA</t>
  </si>
  <si>
    <t>Sultan Abdul Halim Airport</t>
  </si>
  <si>
    <t>Amritsar</t>
  </si>
  <si>
    <t>ATQ</t>
  </si>
  <si>
    <t>VIAR</t>
  </si>
  <si>
    <t>Sri Guru Ram Dass Jee International Airport</t>
  </si>
  <si>
    <t>[5][6]</t>
  </si>
  <si>
    <t>Auckland</t>
  </si>
  <si>
    <t>New Zealand</t>
  </si>
  <si>
    <t>AKL</t>
  </si>
  <si>
    <t>NZAA</t>
  </si>
  <si>
    <t>Auckland Airport</t>
  </si>
  <si>
    <t>[7][8]</t>
  </si>
  <si>
    <t>Bacolod</t>
  </si>
  <si>
    <t>Philippines</t>
  </si>
  <si>
    <t>BCD</t>
  </si>
  <si>
    <t>RPVB</t>
  </si>
  <si>
    <t>Bacolod-Silay Airport</t>
  </si>
  <si>
    <t>Bagdogra</t>
  </si>
  <si>
    <t>IXB</t>
  </si>
  <si>
    <t>VEBD</t>
  </si>
  <si>
    <t>Bagdogra Airport</t>
  </si>
  <si>
    <t>[9][10]</t>
  </si>
  <si>
    <t>Balikpapan</t>
  </si>
  <si>
    <t>Indonesia</t>
  </si>
  <si>
    <t>BPN</t>
  </si>
  <si>
    <t>WALL</t>
  </si>
  <si>
    <t>Sultan Aji Muhammad Sulaiman Airport</t>
  </si>
  <si>
    <t>Banda Aceh</t>
  </si>
  <si>
    <t>BTJ</t>
  </si>
  <si>
    <t>WITT</t>
  </si>
  <si>
    <t>Sultan Iskandar Muda International Airport</t>
  </si>
  <si>
    <t>Bandar Seri Begawan</t>
  </si>
  <si>
    <t>Brunei</t>
  </si>
  <si>
    <t>BWN</t>
  </si>
  <si>
    <t>WBSB</t>
  </si>
  <si>
    <t>Brunei International Airport</t>
  </si>
  <si>
    <t>Bandung</t>
  </si>
  <si>
    <t>BDO</t>
  </si>
  <si>
    <t>WICC</t>
  </si>
  <si>
    <t>Husein Sastranegara International Airport</t>
  </si>
  <si>
    <t>Bangkok</t>
  </si>
  <si>
    <t>Thailand</t>
  </si>
  <si>
    <t>DMK</t>
  </si>
  <si>
    <t>VTBD</t>
  </si>
  <si>
    <t>Don Mueang International Airport</t>
  </si>
  <si>
    <t>[12][13]</t>
  </si>
  <si>
    <t>Batam</t>
  </si>
  <si>
    <t>BTH</t>
  </si>
  <si>
    <t>WIDD</t>
  </si>
  <si>
    <t>Hang Nadim Airport</t>
  </si>
  <si>
    <t>[14]</t>
  </si>
  <si>
    <t>Beijing</t>
  </si>
  <si>
    <t>China</t>
  </si>
  <si>
    <t>PEK</t>
  </si>
  <si>
    <t>ZBAA</t>
  </si>
  <si>
    <t>Beijing Capital International Airport</t>
  </si>
  <si>
    <t>Bengaluru</t>
  </si>
  <si>
    <t>BLR</t>
  </si>
  <si>
    <t>VOBL</t>
  </si>
  <si>
    <t>Kempegowda International Airport</t>
  </si>
  <si>
    <t>[15]</t>
  </si>
  <si>
    <t>Bhubaneswar</t>
  </si>
  <si>
    <t>BBI</t>
  </si>
  <si>
    <t>VEBS</t>
  </si>
  <si>
    <t>Biju Patnaik International Airport</t>
  </si>
  <si>
    <t>[16][10]</t>
  </si>
  <si>
    <t>Bintulu</t>
  </si>
  <si>
    <t>BTU</t>
  </si>
  <si>
    <t>WBGB</t>
  </si>
  <si>
    <t>Bintulu Airport</t>
  </si>
  <si>
    <t>Brisbane</t>
  </si>
  <si>
    <t>BNE</t>
  </si>
  <si>
    <t>YBBN</t>
  </si>
  <si>
    <t>Brisbane Airport</t>
  </si>
  <si>
    <t>Buriram</t>
  </si>
  <si>
    <t>BFV</t>
  </si>
  <si>
    <t>VTUO</t>
  </si>
  <si>
    <t>Buriram Airport</t>
  </si>
  <si>
    <t>Busan</t>
  </si>
  <si>
    <t>South Korea</t>
  </si>
  <si>
    <t>PUS</t>
  </si>
  <si>
    <t>RKPK</t>
  </si>
  <si>
    <t>Gimhae International Airport</t>
  </si>
  <si>
    <t>Cagayan De Oro</t>
  </si>
  <si>
    <t>CGY</t>
  </si>
  <si>
    <t>RPMY</t>
  </si>
  <si>
    <t>Laguindingan International Airport</t>
  </si>
  <si>
    <t>Can Tho</t>
  </si>
  <si>
    <t>Vietnam</t>
  </si>
  <si>
    <t>VCA</t>
  </si>
  <si>
    <t>VVCT</t>
  </si>
  <si>
    <t>Can Tho Airport</t>
  </si>
  <si>
    <t>Caticlan</t>
  </si>
  <si>
    <t>MPH</t>
  </si>
  <si>
    <t>RPVE</t>
  </si>
  <si>
    <t>Godofredo P. Ramos Airport</t>
  </si>
  <si>
    <t>Cebu</t>
  </si>
  <si>
    <t>CEB</t>
  </si>
  <si>
    <t>RPVM</t>
  </si>
  <si>
    <t>Mactan-Cebu International Airport</t>
  </si>
  <si>
    <t>[17][18]</t>
  </si>
  <si>
    <t>Chandigarh</t>
  </si>
  <si>
    <t>IXC</t>
  </si>
  <si>
    <t>VICG</t>
  </si>
  <si>
    <t>Chandigarh Airport</t>
  </si>
  <si>
    <t>[19]</t>
  </si>
  <si>
    <t>Changsha</t>
  </si>
  <si>
    <t>CSX</t>
  </si>
  <si>
    <t>ZGHA</t>
  </si>
  <si>
    <t>Changsha Huanghua International Airport</t>
  </si>
  <si>
    <t>Chengdu</t>
  </si>
  <si>
    <t>CTU</t>
  </si>
  <si>
    <t>ZUUU</t>
  </si>
  <si>
    <t>Chengdu Shuangliu International Airport</t>
  </si>
  <si>
    <t>[20]</t>
  </si>
  <si>
    <t>Chennai</t>
  </si>
  <si>
    <t>MAA</t>
  </si>
  <si>
    <t>VOMM</t>
  </si>
  <si>
    <t>Chennai International Airport</t>
  </si>
  <si>
    <t>[21]</t>
  </si>
  <si>
    <t>Chiang Mai</t>
  </si>
  <si>
    <t>CNX</t>
  </si>
  <si>
    <t>VTCC</t>
  </si>
  <si>
    <t>Chiang Mai International Airport</t>
  </si>
  <si>
    <t>Chiang Rai</t>
  </si>
  <si>
    <t>CEI</t>
  </si>
  <si>
    <t>VTCT</t>
  </si>
  <si>
    <t>Mae Fah Luang International Airport</t>
  </si>
  <si>
    <t>Chongqing</t>
  </si>
  <si>
    <t>CKG</t>
  </si>
  <si>
    <t>ZUCK</t>
  </si>
  <si>
    <t>Chongqing Jiangbei International Airport</t>
  </si>
  <si>
    <t>Chumphon</t>
  </si>
  <si>
    <t>CJM</t>
  </si>
  <si>
    <t>VTSE</t>
  </si>
  <si>
    <t>Chumphon Airport</t>
  </si>
  <si>
    <t>[22]</t>
  </si>
  <si>
    <t>Christchurch</t>
  </si>
  <si>
    <t>CHC</t>
  </si>
  <si>
    <t>NZCH</t>
  </si>
  <si>
    <t>Christchurch International Airport</t>
  </si>
  <si>
    <t>Clark</t>
  </si>
  <si>
    <t>CRK</t>
  </si>
  <si>
    <t>RPLC</t>
  </si>
  <si>
    <t>Clark International Airport</t>
  </si>
  <si>
    <t>Colombo</t>
  </si>
  <si>
    <t>Sri Lanka</t>
  </si>
  <si>
    <t>CMB</t>
  </si>
  <si>
    <t>VCBI</t>
  </si>
  <si>
    <t>Bandaranaike International Airport</t>
  </si>
  <si>
    <t>[23][24]</t>
  </si>
  <si>
    <t>Da Lat</t>
  </si>
  <si>
    <t>DLI</t>
  </si>
  <si>
    <t>VVDL</t>
  </si>
  <si>
    <t>Lien Khuong Airport</t>
  </si>
  <si>
    <t>Da Nang</t>
  </si>
  <si>
    <t>DAD</t>
  </si>
  <si>
    <t>VVDN</t>
  </si>
  <si>
    <t>Da Nang International Airport</t>
  </si>
  <si>
    <t>[25][26]</t>
  </si>
  <si>
    <t>Darwin</t>
  </si>
  <si>
    <t>DRW</t>
  </si>
  <si>
    <t>YPDN</t>
  </si>
  <si>
    <t>Darwin International Airport</t>
  </si>
  <si>
    <t>[14][27][28]</t>
  </si>
  <si>
    <t>Davao</t>
  </si>
  <si>
    <t>DVO</t>
  </si>
  <si>
    <t>RPMD</t>
  </si>
  <si>
    <t>Francisco Bangoy International Airport</t>
  </si>
  <si>
    <t>[29][30]</t>
  </si>
  <si>
    <t>Delhi</t>
  </si>
  <si>
    <t>DEL</t>
  </si>
  <si>
    <t>VIDP</t>
  </si>
  <si>
    <t>Indira Gandhi International Airport</t>
  </si>
  <si>
    <t>[31][32][33]</t>
  </si>
  <si>
    <t>Denpasar</t>
  </si>
  <si>
    <t>DPS</t>
  </si>
  <si>
    <t>WADD</t>
  </si>
  <si>
    <t>Ngurah Rai International Airport</t>
  </si>
  <si>
    <t>[34][35]</t>
  </si>
  <si>
    <t>Dhaka</t>
  </si>
  <si>
    <t>Bangladesh</t>
  </si>
  <si>
    <t>DAC</t>
  </si>
  <si>
    <t>VGHS</t>
  </si>
  <si>
    <t>Shahjalal International Airport</t>
  </si>
  <si>
    <t>[36][37]</t>
  </si>
  <si>
    <t>Fukuoka</t>
  </si>
  <si>
    <t>Japan</t>
  </si>
  <si>
    <t>FUK</t>
  </si>
  <si>
    <t>RJFF</t>
  </si>
  <si>
    <t>Fukuoka Airport</t>
  </si>
  <si>
    <t>[38]</t>
  </si>
  <si>
    <t>Gaya</t>
  </si>
  <si>
    <t>GAY</t>
  </si>
  <si>
    <t>VEGY</t>
  </si>
  <si>
    <t>Gaya Airport</t>
  </si>
  <si>
    <t>[39]</t>
  </si>
  <si>
    <t>Goa</t>
  </si>
  <si>
    <t>GOI</t>
  </si>
  <si>
    <t>VOGO</t>
  </si>
  <si>
    <t>Goa International Airport</t>
  </si>
  <si>
    <t>Gold Coast</t>
  </si>
  <si>
    <t>OOL</t>
  </si>
  <si>
    <t>YBCG</t>
  </si>
  <si>
    <t>Gold Coast Airport</t>
  </si>
  <si>
    <t>Guwahati</t>
  </si>
  <si>
    <t>GAU</t>
  </si>
  <si>
    <t>VEGT</t>
  </si>
  <si>
    <t>Lokpriya Gopinath Bordoloi International Airport</t>
  </si>
  <si>
    <t>Guangzhou</t>
  </si>
  <si>
    <t>CAN</t>
  </si>
  <si>
    <t>ZGGG</t>
  </si>
  <si>
    <t>Guangzhou Baiyun International Airport</t>
  </si>
  <si>
    <t>Guilin</t>
  </si>
  <si>
    <t>KWL</t>
  </si>
  <si>
    <t>ZGKL</t>
  </si>
  <si>
    <t>Guilin Liangjiang International Airport</t>
  </si>
  <si>
    <t>Guiyang</t>
  </si>
  <si>
    <t>KWE</t>
  </si>
  <si>
    <t>ZUGY</t>
  </si>
  <si>
    <t>Guiyang Longdongbao International Airport</t>
  </si>
  <si>
    <t>Haikou</t>
  </si>
  <si>
    <t>HAK</t>
  </si>
  <si>
    <t>ZJHK</t>
  </si>
  <si>
    <t>Haikou Meilan International Airport</t>
  </si>
  <si>
    <t>[40]</t>
  </si>
  <si>
    <t>Hangzhou</t>
  </si>
  <si>
    <t>HGH</t>
  </si>
  <si>
    <t>ZSHC</t>
  </si>
  <si>
    <t>Hangzhou Xiaoshan International Airport</t>
  </si>
  <si>
    <t>Hanoi</t>
  </si>
  <si>
    <t>HAN</t>
  </si>
  <si>
    <t>VVNB</t>
  </si>
  <si>
    <t>Noi Bai International Airport</t>
  </si>
  <si>
    <t>Hat Yai</t>
  </si>
  <si>
    <t>HDY</t>
  </si>
  <si>
    <t>VTSS</t>
  </si>
  <si>
    <t>Hat Yai International Airport</t>
  </si>
  <si>
    <t>Ho Chi Minh City</t>
  </si>
  <si>
    <t>SGN</t>
  </si>
  <si>
    <t>VVTS</t>
  </si>
  <si>
    <t>Tan Son Nhat International Airport</t>
  </si>
  <si>
    <t>Hong Kong</t>
  </si>
  <si>
    <t>HKG</t>
  </si>
  <si>
    <t>VHHH</t>
  </si>
  <si>
    <t>Hong Kong International Airport</t>
  </si>
  <si>
    <t>Honolulu</t>
  </si>
  <si>
    <t>United States</t>
  </si>
  <si>
    <t>HNL</t>
  </si>
  <si>
    <t>PHNL</t>
  </si>
  <si>
    <t>Honolulu International Airport</t>
  </si>
  <si>
    <t>[41]</t>
  </si>
  <si>
    <t>Hua Hin</t>
  </si>
  <si>
    <t>HHQ</t>
  </si>
  <si>
    <t>VTPH</t>
  </si>
  <si>
    <t>Hua Hin Airport</t>
  </si>
  <si>
    <t>[42]</t>
  </si>
  <si>
    <t>Hyderabad</t>
  </si>
  <si>
    <t>HYD</t>
  </si>
  <si>
    <t>VOHS</t>
  </si>
  <si>
    <t>Rajiv Gandhi International Airport</t>
  </si>
  <si>
    <t>[43]</t>
  </si>
  <si>
    <t>Iloilo</t>
  </si>
  <si>
    <t>ILO</t>
  </si>
  <si>
    <t>RPVI</t>
  </si>
  <si>
    <t>Iloilo International Airport</t>
  </si>
  <si>
    <t>[44]</t>
  </si>
  <si>
    <t>Imphal</t>
  </si>
  <si>
    <t>IMF</t>
  </si>
  <si>
    <t>VIEI</t>
  </si>
  <si>
    <t>Imphal International Airport</t>
  </si>
  <si>
    <t>Indore</t>
  </si>
  <si>
    <t>IDR</t>
  </si>
  <si>
    <t>VAID</t>
  </si>
  <si>
    <t>Devi Ahilya Bai Holkar Airport</t>
  </si>
  <si>
    <t>[45]</t>
  </si>
  <si>
    <t>Ipoh</t>
  </si>
  <si>
    <t>IPH</t>
  </si>
  <si>
    <t>WMKI</t>
  </si>
  <si>
    <t>Sultan Azlan Shah Airport</t>
  </si>
  <si>
    <t>[46]</t>
  </si>
  <si>
    <t>Jaipur</t>
  </si>
  <si>
    <t>JAI</t>
  </si>
  <si>
    <t>VIJP</t>
  </si>
  <si>
    <t>Jaipur Airport</t>
  </si>
  <si>
    <t>[19][10][47][48]</t>
  </si>
  <si>
    <t>Jakarta</t>
  </si>
  <si>
    <t>CGK</t>
  </si>
  <si>
    <t>WIII</t>
  </si>
  <si>
    <t>Soekarno¨CHatta International Airport</t>
  </si>
  <si>
    <t>[35]</t>
  </si>
  <si>
    <t>Saudi Arabia</t>
  </si>
  <si>
    <t>[49]</t>
  </si>
  <si>
    <t>Jeju</t>
  </si>
  <si>
    <t>CJU</t>
  </si>
  <si>
    <t>RKPC</t>
  </si>
  <si>
    <t>Jeju International Airport</t>
  </si>
  <si>
    <t>[50]</t>
  </si>
  <si>
    <t>Johor Bahru</t>
  </si>
  <si>
    <t>JHB</t>
  </si>
  <si>
    <t>WMKJ</t>
  </si>
  <si>
    <t>Senai International Airport</t>
  </si>
  <si>
    <t>[51]</t>
  </si>
  <si>
    <t>Kalibo</t>
  </si>
  <si>
    <t>KLO</t>
  </si>
  <si>
    <t>RPVK</t>
  </si>
  <si>
    <t>Kalibo International Airport</t>
  </si>
  <si>
    <t>[52]</t>
  </si>
  <si>
    <t>Kaohsiung</t>
  </si>
  <si>
    <t>Taiwan</t>
  </si>
  <si>
    <t>KHH</t>
  </si>
  <si>
    <t>RCKH</t>
  </si>
  <si>
    <t>Kaohsiung International Airport</t>
  </si>
  <si>
    <t>[53][54]</t>
  </si>
  <si>
    <t>Kathmandu</t>
  </si>
  <si>
    <t>Nepal</t>
  </si>
  <si>
    <t>KTM</t>
  </si>
  <si>
    <t>VNKT</t>
  </si>
  <si>
    <t>Tribhuvan International Airport</t>
  </si>
  <si>
    <t>[55]</t>
  </si>
  <si>
    <t>Khon Kaen</t>
  </si>
  <si>
    <t>KKC</t>
  </si>
  <si>
    <t>VTUK</t>
  </si>
  <si>
    <t>Khon Kaen Airport</t>
  </si>
  <si>
    <t>[56]</t>
  </si>
  <si>
    <t>Kochi</t>
  </si>
  <si>
    <t>COK</t>
  </si>
  <si>
    <t>VOCI</t>
  </si>
  <si>
    <t>Cochin International Airport</t>
  </si>
  <si>
    <t>[57]</t>
  </si>
  <si>
    <t>Kolkata</t>
  </si>
  <si>
    <t>CCU</t>
  </si>
  <si>
    <t>VECC</t>
  </si>
  <si>
    <t>Netaji Subhash Chandra Bose International Airport</t>
  </si>
  <si>
    <t>[58]</t>
  </si>
  <si>
    <t>Kota Bharu</t>
  </si>
  <si>
    <t>KBR</t>
  </si>
  <si>
    <t>WMKC</t>
  </si>
  <si>
    <t>Sultan Ismail Petra Airport</t>
  </si>
  <si>
    <t>Kota Kinabalu</t>
  </si>
  <si>
    <t>BKI</t>
  </si>
  <si>
    <t>WBKK</t>
  </si>
  <si>
    <t>Kota Kinabalu International Airport</t>
  </si>
  <si>
    <t>[59]</t>
  </si>
  <si>
    <t>Krabi</t>
  </si>
  <si>
    <t>KBV</t>
  </si>
  <si>
    <t>VTSG</t>
  </si>
  <si>
    <t>Krabi Airport</t>
  </si>
  <si>
    <t>[60]</t>
  </si>
  <si>
    <t>Kuala Lumpur</t>
  </si>
  <si>
    <t>KUL</t>
  </si>
  <si>
    <t>WMKK</t>
  </si>
  <si>
    <t>Kuala Lumpur International Airport</t>
  </si>
  <si>
    <t>[18]</t>
  </si>
  <si>
    <t>SZB</t>
  </si>
  <si>
    <t>WMSA</t>
  </si>
  <si>
    <t>Sultan Abdul Aziz Shah Airport</t>
  </si>
  <si>
    <t>Kuala Terengganu</t>
  </si>
  <si>
    <t>TGG</t>
  </si>
  <si>
    <t>WMKN</t>
  </si>
  <si>
    <t>Sultan Mahmud Airport</t>
  </si>
  <si>
    <t>Kuantan</t>
  </si>
  <si>
    <t>KUA</t>
  </si>
  <si>
    <t>WMKD</t>
  </si>
  <si>
    <t>Sultan Haji Ahmad Shah Airport</t>
  </si>
  <si>
    <t>[61]</t>
  </si>
  <si>
    <t>Kuching</t>
  </si>
  <si>
    <t>KCH</t>
  </si>
  <si>
    <t>WBGG</t>
  </si>
  <si>
    <t>Kuching International Airport</t>
  </si>
  <si>
    <t>Kunming</t>
  </si>
  <si>
    <t>KMG</t>
  </si>
  <si>
    <t>ZPPP</t>
  </si>
  <si>
    <t>Kunming Changshui International Airport</t>
  </si>
  <si>
    <t>[62]</t>
  </si>
  <si>
    <t>Labuan</t>
  </si>
  <si>
    <t>LBU</t>
  </si>
  <si>
    <t>WBKL</t>
  </si>
  <si>
    <t>Labuan Airport</t>
  </si>
  <si>
    <t>Labuan Bajo</t>
  </si>
  <si>
    <t>LBJ</t>
  </si>
  <si>
    <t>WATO</t>
  </si>
  <si>
    <t>Komodo Airport</t>
  </si>
  <si>
    <t>Langkawi</t>
  </si>
  <si>
    <t>LGK</t>
  </si>
  <si>
    <t>WMKL</t>
  </si>
  <si>
    <t>Langkawi International Airport</t>
  </si>
  <si>
    <t>Loei</t>
  </si>
  <si>
    <t>LOE</t>
  </si>
  <si>
    <t>VTUL</t>
  </si>
  <si>
    <t>Loei Airport</t>
  </si>
  <si>
    <t>Lanzhou</t>
  </si>
  <si>
    <t>LHW</t>
  </si>
  <si>
    <t>ZLLL</t>
  </si>
  <si>
    <t>Lanzhou Zhongchuan International Airport</t>
  </si>
  <si>
    <t>Lombok</t>
  </si>
  <si>
    <t>LOP</t>
  </si>
  <si>
    <t>WADL</t>
  </si>
  <si>
    <t>Lombok International Airport</t>
  </si>
  <si>
    <t>United Kingdom</t>
  </si>
  <si>
    <t>STN</t>
  </si>
  <si>
    <t>EGSS</t>
  </si>
  <si>
    <t>London Stansted Airport</t>
  </si>
  <si>
    <t>[63]</t>
  </si>
  <si>
    <t>London Gatwick Airport</t>
  </si>
  <si>
    <t>[31]</t>
  </si>
  <si>
    <t>Luang Prabang</t>
  </si>
  <si>
    <t>Laos</t>
  </si>
  <si>
    <t>LPQ</t>
  </si>
  <si>
    <t>VLLB</t>
  </si>
  <si>
    <t>Luang Prabang International Airport</t>
  </si>
  <si>
    <t>Macau</t>
  </si>
  <si>
    <t>MFM</t>
  </si>
  <si>
    <t>VMMC</t>
  </si>
  <si>
    <t>Macau International Airport</t>
  </si>
  <si>
    <t>[64]</t>
  </si>
  <si>
    <t>Majalengka</t>
  </si>
  <si>
    <t>KJT</t>
  </si>
  <si>
    <t>WICA</t>
  </si>
  <si>
    <t>Kertajati International Airport</t>
  </si>
  <si>
    <t>Makassar</t>
  </si>
  <si>
    <t>UPG</t>
  </si>
  <si>
    <t>WAAA</t>
  </si>
  <si>
    <t>Sultan Hasanuddin International Airport</t>
  </si>
  <si>
    <t>Mal¨¦</t>
  </si>
  <si>
    <t>Maldives</t>
  </si>
  <si>
    <t>MLE</t>
  </si>
  <si>
    <t>VRMM</t>
  </si>
  <si>
    <t>Velana International Airport</t>
  </si>
  <si>
    <t>[65][66]</t>
  </si>
  <si>
    <t>Manado</t>
  </si>
  <si>
    <t>MDC</t>
  </si>
  <si>
    <t>WAMM</t>
  </si>
  <si>
    <t>Sam Ratulangi International Airport</t>
  </si>
  <si>
    <t>[67]</t>
  </si>
  <si>
    <t>Mandalay</t>
  </si>
  <si>
    <t>Myanmar</t>
  </si>
  <si>
    <t>MDL</t>
  </si>
  <si>
    <t>VYMD</t>
  </si>
  <si>
    <t>Mandalay International Airport</t>
  </si>
  <si>
    <t>Manila</t>
  </si>
  <si>
    <t>MNL</t>
  </si>
  <si>
    <t>RPLL</t>
  </si>
  <si>
    <t>Ninoy Aquino International Airport</t>
  </si>
  <si>
    <t>Mauritius</t>
  </si>
  <si>
    <t>MRU</t>
  </si>
  <si>
    <t>FIMP</t>
  </si>
  <si>
    <t>Sir Seewoosagur Ramgoolam International Airport</t>
  </si>
  <si>
    <t>[68][69]</t>
  </si>
  <si>
    <t>Medan</t>
  </si>
  <si>
    <t>KNO</t>
  </si>
  <si>
    <t>WIMM</t>
  </si>
  <si>
    <t>Kuala Namu International Airport</t>
  </si>
  <si>
    <t>[70]</t>
  </si>
  <si>
    <t>Medina</t>
  </si>
  <si>
    <t>MED</t>
  </si>
  <si>
    <t>OEMA</t>
  </si>
  <si>
    <t>Prince Mohammad bin Abdulaziz Airport</t>
  </si>
  <si>
    <t>[71][72]</t>
  </si>
  <si>
    <t>Meixian</t>
  </si>
  <si>
    <t>MXZ</t>
  </si>
  <si>
    <t>ZGMX</t>
  </si>
  <si>
    <t>Meixian Airport</t>
  </si>
  <si>
    <t>[73]</t>
  </si>
  <si>
    <t>Melaka</t>
  </si>
  <si>
    <t>MKZ</t>
  </si>
  <si>
    <t>WMKM</t>
  </si>
  <si>
    <t>Malacca International Airport</t>
  </si>
  <si>
    <t>Melbourne/Geelong</t>
  </si>
  <si>
    <t>AVV</t>
  </si>
  <si>
    <t>YMAV</t>
  </si>
  <si>
    <t>Avalon Airport</t>
  </si>
  <si>
    <t>Melbourne</t>
  </si>
  <si>
    <t>MEL</t>
  </si>
  <si>
    <t>YMML</t>
  </si>
  <si>
    <t>Melbourne Airport</t>
  </si>
  <si>
    <t>Miri</t>
  </si>
  <si>
    <t>MYY</t>
  </si>
  <si>
    <t>WBGR</t>
  </si>
  <si>
    <t>Miri International Airport</t>
  </si>
  <si>
    <t>Mumbai</t>
  </si>
  <si>
    <t>BOM</t>
  </si>
  <si>
    <t>VABB</t>
  </si>
  <si>
    <t>Chhatrapati Shivaji International Airport</t>
  </si>
  <si>
    <t>[74][75][76][77]</t>
  </si>
  <si>
    <t>Muscat</t>
  </si>
  <si>
    <t>Oman</t>
  </si>
  <si>
    <t>MCT</t>
  </si>
  <si>
    <t>OOMS</t>
  </si>
  <si>
    <t>Muscat International Airport</t>
  </si>
  <si>
    <t>[78][79]</t>
  </si>
  <si>
    <t>Nagoya</t>
  </si>
  <si>
    <t>NGO</t>
  </si>
  <si>
    <t>RJGG</t>
  </si>
  <si>
    <t>Chubu Centrair International Airport</t>
  </si>
  <si>
    <t>[80][81]</t>
  </si>
  <si>
    <t>Nagpur</t>
  </si>
  <si>
    <t>NAG</t>
  </si>
  <si>
    <t>VANP</t>
  </si>
  <si>
    <t>Dr. Babasaheb Ambedkar International Airport</t>
  </si>
  <si>
    <t>[82]</t>
  </si>
  <si>
    <t>Nakhon Si Thammarat</t>
  </si>
  <si>
    <t>NST</t>
  </si>
  <si>
    <t>VTSF</t>
  </si>
  <si>
    <t>Nakhon Si Thammarat Airport</t>
  </si>
  <si>
    <t>Nan</t>
  </si>
  <si>
    <t>NNT</t>
  </si>
  <si>
    <t>VTCN</t>
  </si>
  <si>
    <t>Nan Airport</t>
  </si>
  <si>
    <t>[83]</t>
  </si>
  <si>
    <t>Nanchang</t>
  </si>
  <si>
    <t>KHN</t>
  </si>
  <si>
    <t>ZSCN</t>
  </si>
  <si>
    <t>Nanchang Changbei International Airport</t>
  </si>
  <si>
    <t>Nanjing</t>
  </si>
  <si>
    <t>ZSNJ</t>
  </si>
  <si>
    <t>Nanjing Lukou International Airport</t>
  </si>
  <si>
    <t>[84]</t>
  </si>
  <si>
    <t>Nanning</t>
  </si>
  <si>
    <t>NKG</t>
  </si>
  <si>
    <t>ZGNN</t>
  </si>
  <si>
    <t>Nanning Wuxu International Airport</t>
  </si>
  <si>
    <t>[85]</t>
  </si>
  <si>
    <t>Narathiwat</t>
  </si>
  <si>
    <t>NAW</t>
  </si>
  <si>
    <t>VTSC</t>
  </si>
  <si>
    <t>Narathiwat Airport</t>
  </si>
  <si>
    <t>Naypyidaw</t>
  </si>
  <si>
    <t>NYT</t>
  </si>
  <si>
    <t>VYNT</t>
  </si>
  <si>
    <t>Naypyidaw Airport</t>
  </si>
  <si>
    <t>Nha Trang</t>
  </si>
  <si>
    <t>CXR</t>
  </si>
  <si>
    <t>VVCR</t>
  </si>
  <si>
    <t>Cam Ranh International Airport</t>
  </si>
  <si>
    <t>[86]</t>
  </si>
  <si>
    <t>Ningbo</t>
  </si>
  <si>
    <t>NGB</t>
  </si>
  <si>
    <t>ZSNB</t>
  </si>
  <si>
    <t>Ningbo Lishe International Airport</t>
  </si>
  <si>
    <t>Okinawa</t>
  </si>
  <si>
    <t>D7 begins 22 January 2020</t>
  </si>
  <si>
    <t>OKA</t>
  </si>
  <si>
    <t>ROAH</t>
  </si>
  <si>
    <t>Naha Airport</t>
  </si>
  <si>
    <t>[38][87]</t>
  </si>
  <si>
    <t>Osaka</t>
  </si>
  <si>
    <t>KIX</t>
  </si>
  <si>
    <t>RJBB</t>
  </si>
  <si>
    <t>Kansai International Airport</t>
  </si>
  <si>
    <t>Padang</t>
  </si>
  <si>
    <t>PDG</t>
  </si>
  <si>
    <t>WIPT</t>
  </si>
  <si>
    <t>Minangkabau International Airport</t>
  </si>
  <si>
    <t>Palembang</t>
  </si>
  <si>
    <t>PLM</t>
  </si>
  <si>
    <t>WIPP</t>
  </si>
  <si>
    <t>Sultan Mahmud Badaruddin II Airport</t>
  </si>
  <si>
    <t>[88]</t>
  </si>
  <si>
    <t>France</t>
  </si>
  <si>
    <t>ORY</t>
  </si>
  <si>
    <t>LFPO</t>
  </si>
  <si>
    <t>Paris-Orly Airport</t>
  </si>
  <si>
    <t>Pattaya</t>
  </si>
  <si>
    <t>UTP</t>
  </si>
  <si>
    <t>VTBU</t>
  </si>
  <si>
    <t>U-Tapao International Airport</t>
  </si>
  <si>
    <t>Pekanbaru</t>
  </si>
  <si>
    <t>PKU</t>
  </si>
  <si>
    <t>WIBB</t>
  </si>
  <si>
    <t>Sultan Syarif Kasim II International Airport</t>
  </si>
  <si>
    <t>Penang</t>
  </si>
  <si>
    <t>PEN</t>
  </si>
  <si>
    <t>WMKP</t>
  </si>
  <si>
    <t>Penang International Airport</t>
  </si>
  <si>
    <t>[89]</t>
  </si>
  <si>
    <t>Perth</t>
  </si>
  <si>
    <t>PER</t>
  </si>
  <si>
    <t>YPPH</t>
  </si>
  <si>
    <t>Perth Airport</t>
  </si>
  <si>
    <t>Phnom Penh</t>
  </si>
  <si>
    <t>Cambodia</t>
  </si>
  <si>
    <t>PNH</t>
  </si>
  <si>
    <t>VDPP</t>
  </si>
  <si>
    <t>Phnom Penh International Airport</t>
  </si>
  <si>
    <t>Phuket</t>
  </si>
  <si>
    <t>HKT</t>
  </si>
  <si>
    <t>VTSP</t>
  </si>
  <si>
    <t>Phuket International Airport</t>
  </si>
  <si>
    <t>Phitsanulok</t>
  </si>
  <si>
    <t>PHS</t>
  </si>
  <si>
    <t>VTUW</t>
  </si>
  <si>
    <t>Phitsanulok Airport</t>
  </si>
  <si>
    <t>Phu Quoc</t>
  </si>
  <si>
    <t>PQC</t>
  </si>
  <si>
    <t>VVPQ</t>
  </si>
  <si>
    <t>Phu Quoc International Airport</t>
  </si>
  <si>
    <t>[90]</t>
  </si>
  <si>
    <t>Pontianak</t>
  </si>
  <si>
    <t>PNK</t>
  </si>
  <si>
    <t>WIOO</t>
  </si>
  <si>
    <t>Supadio Airport</t>
  </si>
  <si>
    <t>Puerto Princesa</t>
  </si>
  <si>
    <t>PPS</t>
  </si>
  <si>
    <t>RPVP</t>
  </si>
  <si>
    <t>Puerto Princesa International Airport</t>
  </si>
  <si>
    <t>Pune</t>
  </si>
  <si>
    <t>PNQ</t>
  </si>
  <si>
    <t>VAPO</t>
  </si>
  <si>
    <t>Pune Airport</t>
  </si>
  <si>
    <t>[91]</t>
  </si>
  <si>
    <t>Quanzhou</t>
  </si>
  <si>
    <t>JJN</t>
  </si>
  <si>
    <t>ZSQZ</t>
  </si>
  <si>
    <t>Quanzhou Jinjiang Airport</t>
  </si>
  <si>
    <t>Ranchi</t>
  </si>
  <si>
    <t>IXR</t>
  </si>
  <si>
    <t>VERC</t>
  </si>
  <si>
    <t>Birsa Munda Airport</t>
  </si>
  <si>
    <t>[92]</t>
  </si>
  <si>
    <t>Ranong</t>
  </si>
  <si>
    <t>UNN</t>
  </si>
  <si>
    <t>VTSR</t>
  </si>
  <si>
    <t>Ranong Airport</t>
  </si>
  <si>
    <t>[93][94]</t>
  </si>
  <si>
    <t>Roi Et</t>
  </si>
  <si>
    <t>ROI</t>
  </si>
  <si>
    <t>VTUV</t>
  </si>
  <si>
    <t>Roi Et Airport</t>
  </si>
  <si>
    <t>Sakon Nakhon</t>
  </si>
  <si>
    <t>SNO</t>
  </si>
  <si>
    <t>VTUI</t>
  </si>
  <si>
    <t>Sakon Nakhon Airport</t>
  </si>
  <si>
    <t>Sandakan</t>
  </si>
  <si>
    <t>SDK</t>
  </si>
  <si>
    <t>WBKS</t>
  </si>
  <si>
    <t>Sandakan Airport</t>
  </si>
  <si>
    <t>Sapporo</t>
  </si>
  <si>
    <t>CTS</t>
  </si>
  <si>
    <t>RJCC</t>
  </si>
  <si>
    <t>New Chitose Airport</t>
  </si>
  <si>
    <t>[38][95][80][96]</t>
  </si>
  <si>
    <t>Sanya</t>
  </si>
  <si>
    <t>SYX</t>
  </si>
  <si>
    <t>ZJSY</t>
  </si>
  <si>
    <t>Sanya Phoenix Airport</t>
  </si>
  <si>
    <t>Semarang</t>
  </si>
  <si>
    <t>SRG</t>
  </si>
  <si>
    <t>WARS</t>
  </si>
  <si>
    <t>Achmad Yani International Airport</t>
  </si>
  <si>
    <t>Sendai</t>
  </si>
  <si>
    <t>SDJ</t>
  </si>
  <si>
    <t>RJSS</t>
  </si>
  <si>
    <t>Sendai Airport</t>
  </si>
  <si>
    <t>Seoul</t>
  </si>
  <si>
    <t>ICN</t>
  </si>
  <si>
    <t>RKSI</t>
  </si>
  <si>
    <t>Incheon International Airport</t>
  </si>
  <si>
    <t>Shanghai</t>
  </si>
  <si>
    <t>PVG</t>
  </si>
  <si>
    <t>ZSPD</t>
  </si>
  <si>
    <t>Shanghai Pudong International Airport</t>
  </si>
  <si>
    <t>[97][98]</t>
  </si>
  <si>
    <t>Shantou</t>
  </si>
  <si>
    <t>SWA</t>
  </si>
  <si>
    <t>ZGOW</t>
  </si>
  <si>
    <t>Jieyang Chaoshan International Airport</t>
  </si>
  <si>
    <t>[99][100]</t>
  </si>
  <si>
    <t>Shenzhen</t>
  </si>
  <si>
    <t>SZX</t>
  </si>
  <si>
    <t>ZGSZ</t>
  </si>
  <si>
    <t>Shenzhen Bao'an International Airport</t>
  </si>
  <si>
    <t>[101]</t>
  </si>
  <si>
    <t>Shenyang</t>
  </si>
  <si>
    <t>SHE</t>
  </si>
  <si>
    <t>ZYTX</t>
  </si>
  <si>
    <t>Shenyang Taoxian International Airport</t>
  </si>
  <si>
    <t>Siborong-Borong</t>
  </si>
  <si>
    <t>DTB</t>
  </si>
  <si>
    <t>WIMN</t>
  </si>
  <si>
    <t>Silangit International Airport</t>
  </si>
  <si>
    <t>[102]</t>
  </si>
  <si>
    <t>Sibu</t>
  </si>
  <si>
    <t>SBW</t>
  </si>
  <si>
    <t>WBGS</t>
  </si>
  <si>
    <t>Sibu Airport</t>
  </si>
  <si>
    <t>Siem Reap</t>
  </si>
  <si>
    <t>REP</t>
  </si>
  <si>
    <t>VDSR</t>
  </si>
  <si>
    <t>Siem Reap International Airport</t>
  </si>
  <si>
    <t>Sihanoukville</t>
  </si>
  <si>
    <t>KOS</t>
  </si>
  <si>
    <t>VDSV</t>
  </si>
  <si>
    <t>Sihanoukville International Airport</t>
  </si>
  <si>
    <t>[103]</t>
  </si>
  <si>
    <t>Singapore</t>
  </si>
  <si>
    <t>SIN</t>
  </si>
  <si>
    <t>WSSS</t>
  </si>
  <si>
    <t>Singapore Changi Airport</t>
  </si>
  <si>
    <t>Solo</t>
  </si>
  <si>
    <t>SOC</t>
  </si>
  <si>
    <t>WARQ</t>
  </si>
  <si>
    <t>Adisumarmo International Airport</t>
  </si>
  <si>
    <t>[104][105][106]</t>
  </si>
  <si>
    <t>Sorong</t>
  </si>
  <si>
    <t>SOQ</t>
  </si>
  <si>
    <t>WASS</t>
  </si>
  <si>
    <t>Domine Eduard Osok Airport</t>
  </si>
  <si>
    <t>Srinagar</t>
  </si>
  <si>
    <t>SXR</t>
  </si>
  <si>
    <t>VISR</t>
  </si>
  <si>
    <t>Srinagar Airport</t>
  </si>
  <si>
    <t>Surabaya</t>
  </si>
  <si>
    <t>SUB</t>
  </si>
  <si>
    <t>WARR</t>
  </si>
  <si>
    <t>Juanda International Airport</t>
  </si>
  <si>
    <t>Surat</t>
  </si>
  <si>
    <t>STV</t>
  </si>
  <si>
    <t>VASU</t>
  </si>
  <si>
    <t>Surat Airport</t>
  </si>
  <si>
    <t>[107]</t>
  </si>
  <si>
    <t>Surat Thani</t>
  </si>
  <si>
    <t>URT</t>
  </si>
  <si>
    <t>VTSB</t>
  </si>
  <si>
    <t>Surat Thani Airport</t>
  </si>
  <si>
    <t>Sydney</t>
  </si>
  <si>
    <t>SYD</t>
  </si>
  <si>
    <t>YSSY</t>
  </si>
  <si>
    <t>Sydney Airport</t>
  </si>
  <si>
    <t>[108]</t>
  </si>
  <si>
    <t>Tacloban</t>
  </si>
  <si>
    <t>TAC</t>
  </si>
  <si>
    <t>RPVA</t>
  </si>
  <si>
    <t>Daniel Z. Romualdez Airport</t>
  </si>
  <si>
    <t>Tagbilaran</t>
  </si>
  <si>
    <t>TAG</t>
  </si>
  <si>
    <t>RPVT</t>
  </si>
  <si>
    <t>Tagbilaran Airport</t>
  </si>
  <si>
    <t>Taipei</t>
  </si>
  <si>
    <t>TPE</t>
  </si>
  <si>
    <t>RCTP</t>
  </si>
  <si>
    <t>Taipei Taoyuan International Airport</t>
  </si>
  <si>
    <t>[95]</t>
  </si>
  <si>
    <t>Tanjung Pandan</t>
  </si>
  <si>
    <t>TJQ</t>
  </si>
  <si>
    <t>WIKT</t>
  </si>
  <si>
    <t>H.A.S. Hanandjoeddin International Airport</t>
  </si>
  <si>
    <t>Tawau</t>
  </si>
  <si>
    <t>TWU</t>
  </si>
  <si>
    <t>WBKW</t>
  </si>
  <si>
    <t>Tawau Airport</t>
  </si>
  <si>
    <t>begins 28 December 2019</t>
  </si>
  <si>
    <t>TBS</t>
  </si>
  <si>
    <t>UGTB</t>
  </si>
  <si>
    <t>Shota Rustaveli Tbilisi International Airport</t>
  </si>
  <si>
    <t>[109]</t>
  </si>
  <si>
    <t>Tehran</t>
  </si>
  <si>
    <t>Iran</t>
  </si>
  <si>
    <t>IKA</t>
  </si>
  <si>
    <t>OIIE</t>
  </si>
  <si>
    <t>Tehran Imam Khomeini International Airport</t>
  </si>
  <si>
    <t>[110][111][112]</t>
  </si>
  <si>
    <t>Thiruvananthapuram</t>
  </si>
  <si>
    <t>TRV</t>
  </si>
  <si>
    <t>VOTV</t>
  </si>
  <si>
    <t>Trivandrum International Airport</t>
  </si>
  <si>
    <t>[113]</t>
  </si>
  <si>
    <t>Tianjin</t>
  </si>
  <si>
    <t>TSN</t>
  </si>
  <si>
    <t>ZBTJ</t>
  </si>
  <si>
    <t>Tianjin Binhai International Airport</t>
  </si>
  <si>
    <t>[114]</t>
  </si>
  <si>
    <t>Tiruchirapalli</t>
  </si>
  <si>
    <t>TRZ</t>
  </si>
  <si>
    <t>VOTR</t>
  </si>
  <si>
    <t>Tiruchirapalli Airport</t>
  </si>
  <si>
    <t>[47]</t>
  </si>
  <si>
    <t>Tokyo</t>
  </si>
  <si>
    <t>HND</t>
  </si>
  <si>
    <t>RJTT</t>
  </si>
  <si>
    <t>Haneda Airport</t>
  </si>
  <si>
    <t>NRT</t>
  </si>
  <si>
    <t>RJAA</t>
  </si>
  <si>
    <t>Narita International Airport</t>
  </si>
  <si>
    <t>[115][116]</t>
  </si>
  <si>
    <t>Trang</t>
  </si>
  <si>
    <t>TST</t>
  </si>
  <si>
    <t>VTST</t>
  </si>
  <si>
    <t>Trang Airport</t>
  </si>
  <si>
    <t>Ubon Ratchathani</t>
  </si>
  <si>
    <t>UBP</t>
  </si>
  <si>
    <t>VTUU</t>
  </si>
  <si>
    <t>Ubon Ratchathani Airport</t>
  </si>
  <si>
    <t>Udon Thani</t>
  </si>
  <si>
    <t>UTH</t>
  </si>
  <si>
    <t>VTUD</t>
  </si>
  <si>
    <t>Udon Thani Airport</t>
  </si>
  <si>
    <t>Varanasi</t>
  </si>
  <si>
    <t>FD begins 5 February 2020</t>
  </si>
  <si>
    <t>VNS</t>
  </si>
  <si>
    <t>VEBN</t>
  </si>
  <si>
    <t>Lal Bahadur Shastri Airport</t>
  </si>
  <si>
    <t>Vientiane</t>
  </si>
  <si>
    <t>VTE</t>
  </si>
  <si>
    <t>VLVT</t>
  </si>
  <si>
    <t>Wattay International Airport</t>
  </si>
  <si>
    <t>[117]</t>
  </si>
  <si>
    <t>Visakhapatnam</t>
  </si>
  <si>
    <t>VTZ</t>
  </si>
  <si>
    <t>VOVZ</t>
  </si>
  <si>
    <t>Visakhapatnam Airport</t>
  </si>
  <si>
    <t>[118]</t>
  </si>
  <si>
    <t>Xiamen</t>
  </si>
  <si>
    <t>XMN</t>
  </si>
  <si>
    <t>ZSAM</t>
  </si>
  <si>
    <t>Xiamen Gaoqi International Airport</t>
  </si>
  <si>
    <t>[119][120]</t>
  </si>
  <si>
    <t>Wenzhou</t>
  </si>
  <si>
    <t>WNZ</t>
  </si>
  <si>
    <t>ZSWZ</t>
  </si>
  <si>
    <t>Wenzhou Longwan International Airport</t>
  </si>
  <si>
    <t>[121]</t>
  </si>
  <si>
    <t>Wuhan</t>
  </si>
  <si>
    <t>WUH</t>
  </si>
  <si>
    <t>ZHHH</t>
  </si>
  <si>
    <t>Wuhan Tianhe International Airport</t>
  </si>
  <si>
    <t>[104]</t>
  </si>
  <si>
    <t>Xi'an</t>
  </si>
  <si>
    <t>XIY</t>
  </si>
  <si>
    <t>ZLXY</t>
  </si>
  <si>
    <t>Xi'an Xianyang International Airport</t>
  </si>
  <si>
    <t>[122]</t>
  </si>
  <si>
    <t>Yangon</t>
  </si>
  <si>
    <t>RGN</t>
  </si>
  <si>
    <t>VYYY</t>
  </si>
  <si>
    <t>Yangon International Airport</t>
  </si>
  <si>
    <t>Yogyakarta</t>
  </si>
  <si>
    <t>JOG</t>
  </si>
  <si>
    <t>WARJ</t>
  </si>
  <si>
    <t>Adisucipto International Airport</t>
  </si>
  <si>
    <t>Departure Date</t>
  </si>
  <si>
    <t>Departure Time</t>
  </si>
  <si>
    <t>Terrorist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</si>
</sst>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1300C]dd/mm/yyyy;@"/>
    <numFmt numFmtId="169" formatCode="[$-F400]h:mm:ss\ AM/PM"/>
  </numFmts>
  <fonts count="10"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</font>
    <font>
      <sz val="8"/>
      <color rgb="FF000000"/>
      <name val="Arial"/>
      <family val="2"/>
    </font>
    <font>
      <sz val="10"/>
      <color rgb="FF44444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ck">
        <color rgb="FFDDDDDD"/>
      </left>
      <right/>
      <top style="thick">
        <color rgb="FFDDDDDD"/>
      </top>
      <bottom/>
      <diagonal/>
    </border>
    <border>
      <left/>
      <right/>
      <top style="thick">
        <color rgb="FFDDDDDD"/>
      </top>
      <bottom/>
      <diagonal/>
    </border>
    <border>
      <left style="thick">
        <color rgb="FFDDDDDD"/>
      </left>
      <right/>
      <top/>
      <bottom/>
      <diagonal/>
    </border>
    <border>
      <left style="thick">
        <color rgb="FFDDDDDD"/>
      </left>
      <right/>
      <top/>
      <bottom style="thick">
        <color rgb="FFDDDDDD"/>
      </bottom>
      <diagonal/>
    </border>
    <border>
      <left/>
      <right/>
      <top/>
      <bottom style="thick">
        <color rgb="FFDDDDDD"/>
      </bottom>
      <diagonal/>
    </border>
  </borders>
  <cellStyleXfs count="2">
    <xf numFmtId="0" fontId="0" fillId="0" borderId="0"/>
    <xf numFmtId="0" fontId="7" fillId="0" borderId="0" applyFill="0" applyProtection="0"/>
  </cellStyleXfs>
  <cellXfs count="30">
    <xf numFmtId="0" fontId="0" fillId="0" borderId="0" xfId="0"/>
    <xf numFmtId="0" fontId="2" fillId="0" borderId="0" xfId="0" applyFont="1"/>
    <xf numFmtId="14" fontId="2" fillId="0" borderId="0" xfId="0" applyNumberFormat="1" applyFont="1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14" fontId="6" fillId="0" borderId="0" xfId="0" applyNumberFormat="1" applyFont="1"/>
    <xf numFmtId="0" fontId="5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0" fontId="2" fillId="0" borderId="0" xfId="0" applyFont="1" applyFill="1"/>
    <xf numFmtId="0" fontId="0" fillId="2" borderId="0" xfId="0" applyFill="1" applyAlignment="1">
      <alignment horizontal="center" vertical="center"/>
    </xf>
    <xf numFmtId="0" fontId="7" fillId="0" borderId="0" xfId="1" applyFill="1" applyProtection="1"/>
    <xf numFmtId="0" fontId="8" fillId="3" borderId="0" xfId="0" applyFont="1" applyFill="1" applyAlignment="1">
      <alignment vertical="center" wrapText="1"/>
    </xf>
    <xf numFmtId="0" fontId="8" fillId="3" borderId="1" xfId="0" applyFont="1" applyFill="1" applyBorder="1" applyAlignment="1">
      <alignment vertical="center" wrapText="1"/>
    </xf>
    <xf numFmtId="0" fontId="8" fillId="3" borderId="2" xfId="0" applyFont="1" applyFill="1" applyBorder="1" applyAlignment="1">
      <alignment vertical="center" wrapText="1"/>
    </xf>
    <xf numFmtId="0" fontId="8" fillId="3" borderId="3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3" fillId="0" borderId="0" xfId="0" quotePrefix="1" applyFont="1"/>
    <xf numFmtId="0" fontId="9" fillId="0" borderId="0" xfId="0" applyFont="1"/>
    <xf numFmtId="21" fontId="2" fillId="0" borderId="0" xfId="0" applyNumberFormat="1" applyFont="1"/>
    <xf numFmtId="169" fontId="0" fillId="0" borderId="0" xfId="0" applyNumberFormat="1"/>
    <xf numFmtId="169" fontId="2" fillId="0" borderId="0" xfId="0" applyNumberFormat="1" applyFont="1"/>
    <xf numFmtId="169" fontId="6" fillId="0" borderId="0" xfId="0" applyNumberFormat="1" applyFont="1"/>
  </cellXfs>
  <cellStyles count="2">
    <cellStyle name="Normal" xfId="0" builtinId="0"/>
    <cellStyle name="Normal 2" xfId="1" xr:uid="{A889D0D1-2CBD-4227-BB93-C35708B119FA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[Projet-VBA-2 (1).xlsm]Table!Tableau croisé 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3F-4A44-9198-B04B1A2B7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940360"/>
        <c:axId val="774939376"/>
      </c:barChart>
      <c:catAx>
        <c:axId val="77494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4939376"/>
        <c:crosses val="autoZero"/>
        <c:auto val="1"/>
        <c:lblAlgn val="ctr"/>
        <c:lblOffset val="100"/>
        <c:noMultiLvlLbl val="0"/>
      </c:catAx>
      <c:valAx>
        <c:axId val="77493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4940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752474</xdr:colOff>
      <xdr:row>6</xdr:row>
      <xdr:rowOff>180975</xdr:rowOff>
    </xdr:from>
    <xdr:to>
      <xdr:col>12</xdr:col>
      <xdr:colOff>752475</xdr:colOff>
      <xdr:row>9</xdr:row>
      <xdr:rowOff>95251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4" y="1323975"/>
          <a:ext cx="1524001" cy="4857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Clients by Flights</a:t>
          </a:r>
          <a:r>
            <a:rPr lang="fr-FR" sz="1100" baseline="0"/>
            <a:t> Categorie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1</xdr:col>
      <xdr:colOff>995362</xdr:colOff>
      <xdr:row>4</xdr:row>
      <xdr:rowOff>14287</xdr:rowOff>
    </xdr:from>
    <xdr:to>
      <xdr:col>7</xdr:col>
      <xdr:colOff>604837</xdr:colOff>
      <xdr:row>18</xdr:row>
      <xdr:rowOff>90487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124C3DE-33A4-40A3-A28E-2B8F588F96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" refreshedDate="43837.989844675925" createdVersion="6" refreshedVersion="6" minRefreshableVersion="3" recordCount="10" xr:uid="{20E1F72B-5C02-4E72-83F7-8BC54FFBB975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1FBD2C-43F1-408D-95ED-E115D1D962D0}" name="Tableau croisé dynamique4" cacheId="2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02"/>
  <sheetViews>
    <sheetView zoomScale="70" zoomScaleNormal="70" workbookViewId="0">
      <selection activeCell="D198" sqref="D198"/>
    </sheetView>
  </sheetViews>
  <sheetFormatPr baseColWidth="10"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6" t="s">
        <v>0</v>
      </c>
      <c r="B1" s="6" t="s">
        <v>1</v>
      </c>
      <c r="C1" s="7" t="s">
        <v>2</v>
      </c>
      <c r="D1" s="4" t="s">
        <v>8</v>
      </c>
      <c r="E1" s="6" t="s">
        <v>3</v>
      </c>
      <c r="F1" s="6" t="s">
        <v>4</v>
      </c>
      <c r="G1" s="6" t="s">
        <v>15</v>
      </c>
      <c r="I1" s="1"/>
    </row>
    <row r="2" spans="1:9">
      <c r="A2" s="17" t="s">
        <v>108</v>
      </c>
      <c r="B2" s="17" t="s">
        <v>109</v>
      </c>
      <c r="C2" s="2">
        <f>DATE(1950,1,1)</f>
        <v>18264</v>
      </c>
      <c r="D2" t="str">
        <f>IF(C2&lt;DATE(1955,1,1),"Senior",IF(C2&lt;DATE(1995,1,1),"Adult",IF(C2&lt;DATE(2002,1,1),"Young2",IF(C2&lt;DATE(2008,1,1),"Young1","Child"))))</f>
        <v>Senior</v>
      </c>
      <c r="E2" s="24" t="str">
        <f>CONCATENATE(A2,".",B2,"@gmail.com")</f>
        <v>Montana.Bond@gmail.com</v>
      </c>
      <c r="F2" t="s">
        <v>473</v>
      </c>
      <c r="G2" t="s">
        <v>747</v>
      </c>
      <c r="I2" s="1"/>
    </row>
    <row r="3" spans="1:9">
      <c r="A3" s="17" t="s">
        <v>110</v>
      </c>
      <c r="B3" s="17" t="s">
        <v>111</v>
      </c>
      <c r="C3" s="2">
        <f>C2+200</f>
        <v>18464</v>
      </c>
      <c r="D3" t="str">
        <f t="shared" ref="D3:D66" si="0">IF(C3&lt;DATE(1955,1,1),"Senior",IF(C3&lt;DATE(1995,1,1),"Adult",IF(C3&lt;DATE(2002,1,1),"Young2",IF(C3&lt;DATE(2008,1,1),"Young1","Child"))))</f>
        <v>Senior</v>
      </c>
      <c r="E3" s="24" t="str">
        <f t="shared" ref="E3:E66" si="1">CONCATENATE(A3,".",B3,"@gmail.com")</f>
        <v>Cecilia.Shaffer@gmail.com</v>
      </c>
      <c r="F3" t="s">
        <v>474</v>
      </c>
      <c r="G3" t="s">
        <v>748</v>
      </c>
    </row>
    <row r="4" spans="1:9">
      <c r="A4" s="17" t="s">
        <v>112</v>
      </c>
      <c r="B4" s="17" t="s">
        <v>113</v>
      </c>
      <c r="C4" s="2">
        <f t="shared" ref="C4:C67" si="2">C3+200</f>
        <v>18664</v>
      </c>
      <c r="D4" t="str">
        <f t="shared" si="0"/>
        <v>Senior</v>
      </c>
      <c r="E4" s="24" t="str">
        <f t="shared" si="1"/>
        <v>Neve.Maxwell@gmail.com</v>
      </c>
      <c r="F4" t="s">
        <v>475</v>
      </c>
      <c r="G4" t="s">
        <v>749</v>
      </c>
    </row>
    <row r="5" spans="1:9">
      <c r="A5" s="17" t="s">
        <v>114</v>
      </c>
      <c r="B5" s="17" t="s">
        <v>115</v>
      </c>
      <c r="C5" s="2">
        <f t="shared" si="2"/>
        <v>18864</v>
      </c>
      <c r="D5" t="str">
        <f t="shared" si="0"/>
        <v>Senior</v>
      </c>
      <c r="E5" s="24" t="str">
        <f t="shared" si="1"/>
        <v>Paloma.Durham@gmail.com</v>
      </c>
      <c r="F5" t="s">
        <v>476</v>
      </c>
      <c r="G5" t="s">
        <v>750</v>
      </c>
    </row>
    <row r="6" spans="1:9">
      <c r="A6" s="17" t="s">
        <v>116</v>
      </c>
      <c r="B6" s="17" t="s">
        <v>117</v>
      </c>
      <c r="C6" s="2">
        <f t="shared" si="2"/>
        <v>19064</v>
      </c>
      <c r="D6" t="str">
        <f t="shared" si="0"/>
        <v>Senior</v>
      </c>
      <c r="E6" s="24" t="str">
        <f t="shared" si="1"/>
        <v>Taylor.Nixon@gmail.com</v>
      </c>
      <c r="F6" t="s">
        <v>477</v>
      </c>
      <c r="G6" t="s">
        <v>751</v>
      </c>
    </row>
    <row r="7" spans="1:9">
      <c r="A7" s="17" t="s">
        <v>118</v>
      </c>
      <c r="B7" s="17" t="s">
        <v>119</v>
      </c>
      <c r="C7" s="2">
        <f t="shared" si="2"/>
        <v>19264</v>
      </c>
      <c r="D7" t="str">
        <f t="shared" si="0"/>
        <v>Senior</v>
      </c>
      <c r="E7" s="24" t="str">
        <f t="shared" si="1"/>
        <v>Emery.Summers@gmail.com</v>
      </c>
      <c r="F7" t="s">
        <v>478</v>
      </c>
      <c r="G7" t="s">
        <v>752</v>
      </c>
    </row>
    <row r="8" spans="1:9">
      <c r="A8" s="17" t="s">
        <v>120</v>
      </c>
      <c r="B8" s="17" t="s">
        <v>121</v>
      </c>
      <c r="C8" s="2">
        <f t="shared" si="2"/>
        <v>19464</v>
      </c>
      <c r="D8" t="str">
        <f t="shared" si="0"/>
        <v>Senior</v>
      </c>
      <c r="E8" s="24" t="str">
        <f t="shared" si="1"/>
        <v>Oleg.Coffey@gmail.com</v>
      </c>
      <c r="F8" t="s">
        <v>479</v>
      </c>
      <c r="G8" t="s">
        <v>753</v>
      </c>
    </row>
    <row r="9" spans="1:9">
      <c r="A9" s="17" t="s">
        <v>122</v>
      </c>
      <c r="B9" s="17" t="s">
        <v>123</v>
      </c>
      <c r="C9" s="2">
        <f t="shared" si="2"/>
        <v>19664</v>
      </c>
      <c r="D9" t="str">
        <f t="shared" si="0"/>
        <v>Senior</v>
      </c>
      <c r="E9" s="24" t="str">
        <f t="shared" si="1"/>
        <v>Giacomo.Sawyer@gmail.com</v>
      </c>
      <c r="F9" t="s">
        <v>480</v>
      </c>
      <c r="G9" t="s">
        <v>754</v>
      </c>
      <c r="I9" s="1" t="s">
        <v>9</v>
      </c>
    </row>
    <row r="10" spans="1:9">
      <c r="A10" s="17" t="s">
        <v>124</v>
      </c>
      <c r="B10" s="17" t="s">
        <v>125</v>
      </c>
      <c r="C10" s="2">
        <f t="shared" si="2"/>
        <v>19864</v>
      </c>
      <c r="D10" t="str">
        <f t="shared" si="0"/>
        <v>Senior</v>
      </c>
      <c r="E10" s="24" t="str">
        <f t="shared" si="1"/>
        <v>August.Brown@gmail.com</v>
      </c>
      <c r="F10" t="s">
        <v>481</v>
      </c>
      <c r="G10" t="s">
        <v>755</v>
      </c>
      <c r="I10" s="1" t="s">
        <v>10</v>
      </c>
    </row>
    <row r="11" spans="1:9">
      <c r="A11" s="17" t="s">
        <v>126</v>
      </c>
      <c r="B11" s="17" t="s">
        <v>127</v>
      </c>
      <c r="C11" s="2">
        <f t="shared" si="2"/>
        <v>20064</v>
      </c>
      <c r="D11" t="str">
        <f t="shared" si="0"/>
        <v>Senior</v>
      </c>
      <c r="E11" s="24" t="str">
        <f t="shared" si="1"/>
        <v>Iola.Wilder@gmail.com</v>
      </c>
      <c r="F11" t="s">
        <v>482</v>
      </c>
      <c r="G11" t="s">
        <v>756</v>
      </c>
      <c r="I11" s="1" t="s">
        <v>11</v>
      </c>
    </row>
    <row r="12" spans="1:9" ht="14.25" customHeight="1">
      <c r="A12" s="17" t="s">
        <v>128</v>
      </c>
      <c r="B12" s="17" t="s">
        <v>129</v>
      </c>
      <c r="C12" s="2">
        <f t="shared" si="2"/>
        <v>20264</v>
      </c>
      <c r="D12" t="str">
        <f t="shared" si="0"/>
        <v>Adult</v>
      </c>
      <c r="E12" s="24" t="str">
        <f t="shared" si="1"/>
        <v>Jael.Conrad@gmail.com</v>
      </c>
      <c r="F12" t="s">
        <v>483</v>
      </c>
      <c r="G12" t="s">
        <v>757</v>
      </c>
      <c r="I12" s="1" t="s">
        <v>12</v>
      </c>
    </row>
    <row r="13" spans="1:9">
      <c r="A13" s="17" t="s">
        <v>130</v>
      </c>
      <c r="B13" s="17" t="s">
        <v>131</v>
      </c>
      <c r="C13" s="2">
        <f t="shared" si="2"/>
        <v>20464</v>
      </c>
      <c r="D13" t="str">
        <f t="shared" si="0"/>
        <v>Adult</v>
      </c>
      <c r="E13" s="24" t="str">
        <f t="shared" si="1"/>
        <v>Basil.Winters@gmail.com</v>
      </c>
      <c r="F13" t="s">
        <v>484</v>
      </c>
      <c r="G13" t="s">
        <v>758</v>
      </c>
      <c r="I13" s="1" t="s">
        <v>13</v>
      </c>
    </row>
    <row r="14" spans="1:9">
      <c r="A14" s="17" t="s">
        <v>132</v>
      </c>
      <c r="B14" s="17" t="s">
        <v>133</v>
      </c>
      <c r="C14" s="2">
        <f t="shared" si="2"/>
        <v>20664</v>
      </c>
      <c r="D14" t="str">
        <f t="shared" si="0"/>
        <v>Adult</v>
      </c>
      <c r="E14" s="24" t="str">
        <f t="shared" si="1"/>
        <v>Clio.Cantrell@gmail.com</v>
      </c>
      <c r="F14" t="s">
        <v>485</v>
      </c>
      <c r="G14" t="s">
        <v>759</v>
      </c>
      <c r="I14" s="1" t="s">
        <v>14</v>
      </c>
    </row>
    <row r="15" spans="1:9">
      <c r="A15" s="17" t="s">
        <v>134</v>
      </c>
      <c r="B15" s="17" t="s">
        <v>135</v>
      </c>
      <c r="C15" s="2">
        <f t="shared" si="2"/>
        <v>20864</v>
      </c>
      <c r="D15" t="str">
        <f t="shared" si="0"/>
        <v>Adult</v>
      </c>
      <c r="E15" s="24" t="str">
        <f t="shared" si="1"/>
        <v>Chester.Gilliam@gmail.com</v>
      </c>
      <c r="F15" t="s">
        <v>486</v>
      </c>
      <c r="G15" t="s">
        <v>760</v>
      </c>
    </row>
    <row r="16" spans="1:9">
      <c r="A16" s="17" t="s">
        <v>136</v>
      </c>
      <c r="B16" s="17" t="s">
        <v>137</v>
      </c>
      <c r="C16" s="2">
        <f t="shared" si="2"/>
        <v>21064</v>
      </c>
      <c r="D16" t="str">
        <f t="shared" si="0"/>
        <v>Adult</v>
      </c>
      <c r="E16" s="24" t="str">
        <f t="shared" si="1"/>
        <v>Jessica.Gillespie@gmail.com</v>
      </c>
      <c r="F16" t="s">
        <v>487</v>
      </c>
      <c r="G16" t="s">
        <v>761</v>
      </c>
    </row>
    <row r="17" spans="1:7">
      <c r="A17" s="17" t="s">
        <v>138</v>
      </c>
      <c r="B17" s="17" t="s">
        <v>139</v>
      </c>
      <c r="C17" s="2">
        <f t="shared" si="2"/>
        <v>21264</v>
      </c>
      <c r="D17" t="str">
        <f t="shared" si="0"/>
        <v>Adult</v>
      </c>
      <c r="E17" s="24" t="str">
        <f t="shared" si="1"/>
        <v>Paki.Adkins@gmail.com</v>
      </c>
      <c r="F17" t="s">
        <v>488</v>
      </c>
      <c r="G17" t="s">
        <v>762</v>
      </c>
    </row>
    <row r="18" spans="1:7">
      <c r="A18" s="17" t="s">
        <v>140</v>
      </c>
      <c r="B18" s="17" t="s">
        <v>141</v>
      </c>
      <c r="C18" s="2">
        <f t="shared" si="2"/>
        <v>21464</v>
      </c>
      <c r="D18" t="str">
        <f t="shared" si="0"/>
        <v>Adult</v>
      </c>
      <c r="E18" s="24" t="str">
        <f t="shared" si="1"/>
        <v>Tashya.Tucker@gmail.com</v>
      </c>
      <c r="F18" t="s">
        <v>489</v>
      </c>
      <c r="G18" t="s">
        <v>763</v>
      </c>
    </row>
    <row r="19" spans="1:7">
      <c r="A19" s="17" t="s">
        <v>142</v>
      </c>
      <c r="B19" s="17" t="s">
        <v>143</v>
      </c>
      <c r="C19" s="2">
        <f t="shared" si="2"/>
        <v>21664</v>
      </c>
      <c r="D19" t="str">
        <f t="shared" si="0"/>
        <v>Adult</v>
      </c>
      <c r="E19" s="24" t="str">
        <f t="shared" si="1"/>
        <v>Moses.Kramer@gmail.com</v>
      </c>
      <c r="F19" t="s">
        <v>490</v>
      </c>
      <c r="G19" t="s">
        <v>764</v>
      </c>
    </row>
    <row r="20" spans="1:7">
      <c r="A20" s="17" t="s">
        <v>144</v>
      </c>
      <c r="B20" s="17" t="s">
        <v>145</v>
      </c>
      <c r="C20" s="2">
        <f t="shared" si="2"/>
        <v>21864</v>
      </c>
      <c r="D20" t="str">
        <f t="shared" si="0"/>
        <v>Adult</v>
      </c>
      <c r="E20" s="24" t="str">
        <f t="shared" si="1"/>
        <v>Isadora.Snyder@gmail.com</v>
      </c>
      <c r="F20" t="s">
        <v>491</v>
      </c>
      <c r="G20" t="s">
        <v>765</v>
      </c>
    </row>
    <row r="21" spans="1:7">
      <c r="A21" s="17" t="s">
        <v>146</v>
      </c>
      <c r="B21" s="17" t="s">
        <v>147</v>
      </c>
      <c r="C21" s="2">
        <f t="shared" si="2"/>
        <v>22064</v>
      </c>
      <c r="D21" t="str">
        <f t="shared" si="0"/>
        <v>Adult</v>
      </c>
      <c r="E21" s="24" t="str">
        <f t="shared" si="1"/>
        <v>TaShya.Dalton@gmail.com</v>
      </c>
      <c r="F21" t="s">
        <v>492</v>
      </c>
      <c r="G21" t="s">
        <v>766</v>
      </c>
    </row>
    <row r="22" spans="1:7">
      <c r="A22" s="17" t="s">
        <v>148</v>
      </c>
      <c r="B22" s="17" t="s">
        <v>149</v>
      </c>
      <c r="C22" s="2">
        <f t="shared" si="2"/>
        <v>22264</v>
      </c>
      <c r="D22" t="str">
        <f t="shared" si="0"/>
        <v>Adult</v>
      </c>
      <c r="E22" s="24" t="str">
        <f t="shared" si="1"/>
        <v>Sandra.Burch@gmail.com</v>
      </c>
      <c r="F22" t="s">
        <v>493</v>
      </c>
      <c r="G22" t="s">
        <v>767</v>
      </c>
    </row>
    <row r="23" spans="1:7">
      <c r="A23" s="17" t="s">
        <v>150</v>
      </c>
      <c r="B23" s="17" t="s">
        <v>151</v>
      </c>
      <c r="C23" s="2">
        <f t="shared" si="2"/>
        <v>22464</v>
      </c>
      <c r="D23" t="str">
        <f t="shared" si="0"/>
        <v>Adult</v>
      </c>
      <c r="E23" s="24" t="str">
        <f t="shared" si="1"/>
        <v>Hayes.Buckner@gmail.com</v>
      </c>
      <c r="F23" t="s">
        <v>494</v>
      </c>
      <c r="G23" t="s">
        <v>768</v>
      </c>
    </row>
    <row r="24" spans="1:7">
      <c r="A24" s="17" t="s">
        <v>152</v>
      </c>
      <c r="B24" s="17" t="s">
        <v>153</v>
      </c>
      <c r="C24" s="2">
        <f t="shared" si="2"/>
        <v>22664</v>
      </c>
      <c r="D24" t="str">
        <f t="shared" si="0"/>
        <v>Adult</v>
      </c>
      <c r="E24" s="24" t="str">
        <f t="shared" si="1"/>
        <v>Charissa.Lynch@gmail.com</v>
      </c>
      <c r="F24" t="s">
        <v>495</v>
      </c>
      <c r="G24" t="s">
        <v>769</v>
      </c>
    </row>
    <row r="25" spans="1:7">
      <c r="A25" s="17" t="s">
        <v>154</v>
      </c>
      <c r="B25" s="17" t="s">
        <v>155</v>
      </c>
      <c r="C25" s="2">
        <f t="shared" si="2"/>
        <v>22864</v>
      </c>
      <c r="D25" t="str">
        <f t="shared" si="0"/>
        <v>Adult</v>
      </c>
      <c r="E25" s="24" t="str">
        <f t="shared" si="1"/>
        <v>Hamish.Craft@gmail.com</v>
      </c>
      <c r="F25" t="s">
        <v>496</v>
      </c>
      <c r="G25" t="s">
        <v>770</v>
      </c>
    </row>
    <row r="26" spans="1:7">
      <c r="A26" s="17" t="s">
        <v>156</v>
      </c>
      <c r="B26" s="17" t="s">
        <v>157</v>
      </c>
      <c r="C26" s="2">
        <f t="shared" si="2"/>
        <v>23064</v>
      </c>
      <c r="D26" t="str">
        <f t="shared" si="0"/>
        <v>Adult</v>
      </c>
      <c r="E26" s="24" t="str">
        <f t="shared" si="1"/>
        <v>Candice.Fitzgerald@gmail.com</v>
      </c>
      <c r="F26" t="s">
        <v>497</v>
      </c>
      <c r="G26" t="s">
        <v>771</v>
      </c>
    </row>
    <row r="27" spans="1:7">
      <c r="A27" s="17" t="s">
        <v>158</v>
      </c>
      <c r="B27" s="17" t="s">
        <v>159</v>
      </c>
      <c r="C27" s="2">
        <f t="shared" si="2"/>
        <v>23264</v>
      </c>
      <c r="D27" t="str">
        <f t="shared" si="0"/>
        <v>Adult</v>
      </c>
      <c r="E27" s="24" t="str">
        <f t="shared" si="1"/>
        <v>Dai.Whitehead@gmail.com</v>
      </c>
      <c r="F27" t="s">
        <v>498</v>
      </c>
      <c r="G27" t="s">
        <v>772</v>
      </c>
    </row>
    <row r="28" spans="1:7">
      <c r="A28" s="17" t="s">
        <v>160</v>
      </c>
      <c r="B28" s="17" t="s">
        <v>161</v>
      </c>
      <c r="C28" s="2">
        <f t="shared" si="2"/>
        <v>23464</v>
      </c>
      <c r="D28" t="str">
        <f t="shared" si="0"/>
        <v>Adult</v>
      </c>
      <c r="E28" s="24" t="str">
        <f t="shared" si="1"/>
        <v>Veronica.Bell@gmail.com</v>
      </c>
      <c r="F28" t="s">
        <v>499</v>
      </c>
      <c r="G28" t="s">
        <v>773</v>
      </c>
    </row>
    <row r="29" spans="1:7">
      <c r="A29" s="17" t="s">
        <v>152</v>
      </c>
      <c r="B29" s="17" t="s">
        <v>162</v>
      </c>
      <c r="C29" s="2">
        <f t="shared" si="2"/>
        <v>23664</v>
      </c>
      <c r="D29" t="str">
        <f t="shared" si="0"/>
        <v>Adult</v>
      </c>
      <c r="E29" s="24" t="str">
        <f t="shared" si="1"/>
        <v>Charissa.Lowe@gmail.com</v>
      </c>
      <c r="F29" t="s">
        <v>500</v>
      </c>
      <c r="G29" t="s">
        <v>774</v>
      </c>
    </row>
    <row r="30" spans="1:7">
      <c r="A30" s="17" t="s">
        <v>163</v>
      </c>
      <c r="B30" s="17" t="s">
        <v>164</v>
      </c>
      <c r="C30" s="2">
        <f t="shared" si="2"/>
        <v>23864</v>
      </c>
      <c r="D30" t="str">
        <f t="shared" si="0"/>
        <v>Adult</v>
      </c>
      <c r="E30" s="24" t="str">
        <f t="shared" si="1"/>
        <v>Reagan.Hester@gmail.com</v>
      </c>
      <c r="F30" t="s">
        <v>501</v>
      </c>
      <c r="G30" t="s">
        <v>775</v>
      </c>
    </row>
    <row r="31" spans="1:7">
      <c r="A31" s="17" t="s">
        <v>165</v>
      </c>
      <c r="B31" s="17" t="s">
        <v>166</v>
      </c>
      <c r="C31" s="2">
        <f t="shared" si="2"/>
        <v>24064</v>
      </c>
      <c r="D31" t="str">
        <f t="shared" si="0"/>
        <v>Adult</v>
      </c>
      <c r="E31" s="24" t="str">
        <f t="shared" si="1"/>
        <v>Aileen.Weiss@gmail.com</v>
      </c>
      <c r="F31" t="s">
        <v>502</v>
      </c>
      <c r="G31" t="s">
        <v>776</v>
      </c>
    </row>
    <row r="32" spans="1:7">
      <c r="A32" s="17" t="s">
        <v>167</v>
      </c>
      <c r="B32" s="17" t="s">
        <v>168</v>
      </c>
      <c r="C32" s="2">
        <f t="shared" si="2"/>
        <v>24264</v>
      </c>
      <c r="D32" t="str">
        <f t="shared" si="0"/>
        <v>Adult</v>
      </c>
      <c r="E32" s="24" t="str">
        <f t="shared" si="1"/>
        <v>Carissa.Ramsey@gmail.com</v>
      </c>
      <c r="F32" t="s">
        <v>503</v>
      </c>
      <c r="G32" t="s">
        <v>777</v>
      </c>
    </row>
    <row r="33" spans="1:7">
      <c r="A33" s="17" t="s">
        <v>169</v>
      </c>
      <c r="B33" s="17" t="s">
        <v>170</v>
      </c>
      <c r="C33" s="2">
        <f t="shared" si="2"/>
        <v>24464</v>
      </c>
      <c r="D33" t="str">
        <f t="shared" si="0"/>
        <v>Adult</v>
      </c>
      <c r="E33" s="24" t="str">
        <f t="shared" si="1"/>
        <v>Samantha.Owens@gmail.com</v>
      </c>
      <c r="F33" t="s">
        <v>504</v>
      </c>
      <c r="G33" t="s">
        <v>778</v>
      </c>
    </row>
    <row r="34" spans="1:7">
      <c r="A34" s="17" t="s">
        <v>171</v>
      </c>
      <c r="B34" s="17" t="s">
        <v>172</v>
      </c>
      <c r="C34" s="2">
        <f t="shared" si="2"/>
        <v>24664</v>
      </c>
      <c r="D34" t="str">
        <f t="shared" si="0"/>
        <v>Adult</v>
      </c>
      <c r="E34" s="24" t="str">
        <f t="shared" si="1"/>
        <v>Leilani.May@gmail.com</v>
      </c>
      <c r="F34" t="s">
        <v>505</v>
      </c>
      <c r="G34" t="s">
        <v>779</v>
      </c>
    </row>
    <row r="35" spans="1:7">
      <c r="A35" s="17" t="s">
        <v>173</v>
      </c>
      <c r="B35" s="17" t="s">
        <v>174</v>
      </c>
      <c r="C35" s="2">
        <f t="shared" si="2"/>
        <v>24864</v>
      </c>
      <c r="D35" t="str">
        <f t="shared" si="0"/>
        <v>Adult</v>
      </c>
      <c r="E35" s="24" t="str">
        <f t="shared" si="1"/>
        <v>Dana.Haynes@gmail.com</v>
      </c>
      <c r="F35" t="s">
        <v>506</v>
      </c>
      <c r="G35" t="s">
        <v>780</v>
      </c>
    </row>
    <row r="36" spans="1:7">
      <c r="A36" s="17" t="s">
        <v>175</v>
      </c>
      <c r="B36" s="17" t="s">
        <v>176</v>
      </c>
      <c r="C36" s="2">
        <f t="shared" si="2"/>
        <v>25064</v>
      </c>
      <c r="D36" t="str">
        <f t="shared" si="0"/>
        <v>Adult</v>
      </c>
      <c r="E36" s="24" t="str">
        <f t="shared" si="1"/>
        <v>Jamalia.Rosales@gmail.com</v>
      </c>
      <c r="F36" t="s">
        <v>507</v>
      </c>
      <c r="G36" t="s">
        <v>781</v>
      </c>
    </row>
    <row r="37" spans="1:7">
      <c r="A37" s="17" t="s">
        <v>177</v>
      </c>
      <c r="B37" s="17" t="s">
        <v>178</v>
      </c>
      <c r="C37" s="2">
        <f t="shared" si="2"/>
        <v>25264</v>
      </c>
      <c r="D37" t="str">
        <f t="shared" si="0"/>
        <v>Adult</v>
      </c>
      <c r="E37" s="24" t="str">
        <f t="shared" si="1"/>
        <v>Illiana.Schneider@gmail.com</v>
      </c>
      <c r="F37" t="s">
        <v>508</v>
      </c>
      <c r="G37" t="s">
        <v>782</v>
      </c>
    </row>
    <row r="38" spans="1:7">
      <c r="A38" s="17" t="s">
        <v>179</v>
      </c>
      <c r="B38" s="17" t="s">
        <v>180</v>
      </c>
      <c r="C38" s="2">
        <f t="shared" si="2"/>
        <v>25464</v>
      </c>
      <c r="D38" t="str">
        <f t="shared" si="0"/>
        <v>Adult</v>
      </c>
      <c r="E38" s="24" t="str">
        <f t="shared" si="1"/>
        <v>Rajah.Oneal@gmail.com</v>
      </c>
      <c r="F38" t="s">
        <v>509</v>
      </c>
      <c r="G38" t="s">
        <v>783</v>
      </c>
    </row>
    <row r="39" spans="1:7">
      <c r="A39" s="17" t="s">
        <v>181</v>
      </c>
      <c r="B39" s="17" t="s">
        <v>182</v>
      </c>
      <c r="C39" s="2">
        <f t="shared" si="2"/>
        <v>25664</v>
      </c>
      <c r="D39" t="str">
        <f t="shared" si="0"/>
        <v>Adult</v>
      </c>
      <c r="E39" s="24" t="str">
        <f t="shared" si="1"/>
        <v>Kaseem.Blackburn@gmail.com</v>
      </c>
      <c r="F39" t="s">
        <v>510</v>
      </c>
      <c r="G39" t="s">
        <v>784</v>
      </c>
    </row>
    <row r="40" spans="1:7">
      <c r="A40" s="17" t="s">
        <v>183</v>
      </c>
      <c r="B40" s="17" t="s">
        <v>184</v>
      </c>
      <c r="C40" s="2">
        <f t="shared" si="2"/>
        <v>25864</v>
      </c>
      <c r="D40" t="str">
        <f t="shared" si="0"/>
        <v>Adult</v>
      </c>
      <c r="E40" s="24" t="str">
        <f t="shared" si="1"/>
        <v>Tanner.Jennings@gmail.com</v>
      </c>
      <c r="F40" t="s">
        <v>511</v>
      </c>
      <c r="G40" t="s">
        <v>785</v>
      </c>
    </row>
    <row r="41" spans="1:7">
      <c r="A41" s="17" t="s">
        <v>185</v>
      </c>
      <c r="B41" s="17" t="s">
        <v>186</v>
      </c>
      <c r="C41" s="2">
        <f t="shared" si="2"/>
        <v>26064</v>
      </c>
      <c r="D41" t="str">
        <f t="shared" si="0"/>
        <v>Adult</v>
      </c>
      <c r="E41" s="24" t="str">
        <f t="shared" si="1"/>
        <v>Jonah.Dunn@gmail.com</v>
      </c>
      <c r="F41" t="s">
        <v>512</v>
      </c>
      <c r="G41" t="s">
        <v>786</v>
      </c>
    </row>
    <row r="42" spans="1:7">
      <c r="A42" s="17" t="s">
        <v>187</v>
      </c>
      <c r="B42" s="17" t="s">
        <v>188</v>
      </c>
      <c r="C42" s="2">
        <f t="shared" si="2"/>
        <v>26264</v>
      </c>
      <c r="D42" t="str">
        <f t="shared" si="0"/>
        <v>Adult</v>
      </c>
      <c r="E42" s="24" t="str">
        <f t="shared" si="1"/>
        <v>Georgia.Guzman@gmail.com</v>
      </c>
      <c r="F42" t="s">
        <v>513</v>
      </c>
      <c r="G42" t="s">
        <v>787</v>
      </c>
    </row>
    <row r="43" spans="1:7">
      <c r="A43" s="17" t="s">
        <v>189</v>
      </c>
      <c r="B43" s="17" t="s">
        <v>190</v>
      </c>
      <c r="C43" s="2">
        <f t="shared" si="2"/>
        <v>26464</v>
      </c>
      <c r="D43" t="str">
        <f t="shared" si="0"/>
        <v>Adult</v>
      </c>
      <c r="E43" s="24" t="str">
        <f t="shared" si="1"/>
        <v>Minerva.Cotton@gmail.com</v>
      </c>
      <c r="F43" t="s">
        <v>514</v>
      </c>
      <c r="G43" t="s">
        <v>788</v>
      </c>
    </row>
    <row r="44" spans="1:7">
      <c r="A44" s="17" t="s">
        <v>191</v>
      </c>
      <c r="B44" s="17" t="s">
        <v>192</v>
      </c>
      <c r="C44" s="2">
        <f t="shared" si="2"/>
        <v>26664</v>
      </c>
      <c r="D44" t="str">
        <f t="shared" si="0"/>
        <v>Adult</v>
      </c>
      <c r="E44" s="24" t="str">
        <f t="shared" si="1"/>
        <v>Boris.Patrick@gmail.com</v>
      </c>
      <c r="F44" t="s">
        <v>515</v>
      </c>
      <c r="G44" t="s">
        <v>789</v>
      </c>
    </row>
    <row r="45" spans="1:7">
      <c r="A45" s="17" t="s">
        <v>193</v>
      </c>
      <c r="B45" s="17" t="s">
        <v>194</v>
      </c>
      <c r="C45" s="2">
        <f t="shared" si="2"/>
        <v>26864</v>
      </c>
      <c r="D45" t="str">
        <f t="shared" si="0"/>
        <v>Adult</v>
      </c>
      <c r="E45" s="24" t="str">
        <f t="shared" si="1"/>
        <v>Dylan.Emerson@gmail.com</v>
      </c>
      <c r="F45" t="s">
        <v>516</v>
      </c>
      <c r="G45" t="s">
        <v>790</v>
      </c>
    </row>
    <row r="46" spans="1:7">
      <c r="A46" s="17" t="s">
        <v>195</v>
      </c>
      <c r="B46" s="17" t="s">
        <v>196</v>
      </c>
      <c r="C46" s="2">
        <f t="shared" si="2"/>
        <v>27064</v>
      </c>
      <c r="D46" t="str">
        <f t="shared" si="0"/>
        <v>Adult</v>
      </c>
      <c r="E46" s="24" t="str">
        <f t="shared" si="1"/>
        <v>Merrill.Swanson@gmail.com</v>
      </c>
      <c r="F46" t="s">
        <v>517</v>
      </c>
      <c r="G46" t="s">
        <v>791</v>
      </c>
    </row>
    <row r="47" spans="1:7">
      <c r="A47" s="17" t="s">
        <v>197</v>
      </c>
      <c r="B47" s="17" t="s">
        <v>198</v>
      </c>
      <c r="C47" s="2">
        <f t="shared" si="2"/>
        <v>27264</v>
      </c>
      <c r="D47" t="str">
        <f t="shared" si="0"/>
        <v>Adult</v>
      </c>
      <c r="E47" s="24" t="str">
        <f t="shared" si="1"/>
        <v>Cynthia.Holden@gmail.com</v>
      </c>
      <c r="F47" t="s">
        <v>518</v>
      </c>
      <c r="G47" t="s">
        <v>792</v>
      </c>
    </row>
    <row r="48" spans="1:7">
      <c r="A48" s="17" t="s">
        <v>199</v>
      </c>
      <c r="B48" s="17" t="s">
        <v>200</v>
      </c>
      <c r="C48" s="2">
        <f t="shared" si="2"/>
        <v>27464</v>
      </c>
      <c r="D48" t="str">
        <f t="shared" si="0"/>
        <v>Adult</v>
      </c>
      <c r="E48" s="24" t="str">
        <f t="shared" si="1"/>
        <v>Rhonda.Macias@gmail.com</v>
      </c>
      <c r="F48" t="s">
        <v>519</v>
      </c>
      <c r="G48" t="s">
        <v>793</v>
      </c>
    </row>
    <row r="49" spans="1:7">
      <c r="A49" s="17" t="s">
        <v>201</v>
      </c>
      <c r="B49" s="17" t="s">
        <v>202</v>
      </c>
      <c r="C49" s="2">
        <f t="shared" si="2"/>
        <v>27664</v>
      </c>
      <c r="D49" t="str">
        <f t="shared" si="0"/>
        <v>Adult</v>
      </c>
      <c r="E49" s="24" t="str">
        <f t="shared" si="1"/>
        <v>Martena.Houston@gmail.com</v>
      </c>
      <c r="F49" t="s">
        <v>520</v>
      </c>
      <c r="G49" t="s">
        <v>794</v>
      </c>
    </row>
    <row r="50" spans="1:7">
      <c r="A50" s="17" t="s">
        <v>203</v>
      </c>
      <c r="B50" s="17" t="s">
        <v>204</v>
      </c>
      <c r="C50" s="2">
        <f t="shared" si="2"/>
        <v>27864</v>
      </c>
      <c r="D50" t="str">
        <f t="shared" si="0"/>
        <v>Adult</v>
      </c>
      <c r="E50" s="24" t="str">
        <f t="shared" si="1"/>
        <v>Branden.Mckee@gmail.com</v>
      </c>
      <c r="F50" t="s">
        <v>521</v>
      </c>
      <c r="G50" t="s">
        <v>795</v>
      </c>
    </row>
    <row r="51" spans="1:7">
      <c r="A51" s="17" t="s">
        <v>205</v>
      </c>
      <c r="B51" s="17" t="s">
        <v>206</v>
      </c>
      <c r="C51" s="2">
        <f t="shared" si="2"/>
        <v>28064</v>
      </c>
      <c r="D51" t="str">
        <f t="shared" si="0"/>
        <v>Adult</v>
      </c>
      <c r="E51" s="24" t="str">
        <f t="shared" si="1"/>
        <v>Kennedy.Green@gmail.com</v>
      </c>
      <c r="F51" t="s">
        <v>522</v>
      </c>
      <c r="G51" t="s">
        <v>796</v>
      </c>
    </row>
    <row r="52" spans="1:7">
      <c r="A52" s="17" t="s">
        <v>207</v>
      </c>
      <c r="B52" s="17" t="s">
        <v>208</v>
      </c>
      <c r="C52" s="2">
        <f t="shared" si="2"/>
        <v>28264</v>
      </c>
      <c r="D52" t="str">
        <f t="shared" si="0"/>
        <v>Adult</v>
      </c>
      <c r="E52" s="24" t="str">
        <f t="shared" si="1"/>
        <v>Avram.Miranda@gmail.com</v>
      </c>
      <c r="F52" t="s">
        <v>523</v>
      </c>
      <c r="G52" t="s">
        <v>797</v>
      </c>
    </row>
    <row r="53" spans="1:7">
      <c r="A53" s="17" t="s">
        <v>209</v>
      </c>
      <c r="B53" s="17" t="s">
        <v>210</v>
      </c>
      <c r="C53" s="2">
        <f t="shared" si="2"/>
        <v>28464</v>
      </c>
      <c r="D53" t="str">
        <f t="shared" si="0"/>
        <v>Adult</v>
      </c>
      <c r="E53" s="24" t="str">
        <f t="shared" si="1"/>
        <v>Griffin.Garrett@gmail.com</v>
      </c>
      <c r="F53" t="s">
        <v>524</v>
      </c>
      <c r="G53" t="s">
        <v>798</v>
      </c>
    </row>
    <row r="54" spans="1:7">
      <c r="A54" s="17" t="s">
        <v>211</v>
      </c>
      <c r="B54" s="17" t="s">
        <v>212</v>
      </c>
      <c r="C54" s="2">
        <f t="shared" si="2"/>
        <v>28664</v>
      </c>
      <c r="D54" t="str">
        <f t="shared" si="0"/>
        <v>Adult</v>
      </c>
      <c r="E54" s="24" t="str">
        <f t="shared" si="1"/>
        <v>Xanthus.Mcpherson@gmail.com</v>
      </c>
      <c r="F54" t="s">
        <v>525</v>
      </c>
      <c r="G54" t="s">
        <v>799</v>
      </c>
    </row>
    <row r="55" spans="1:7">
      <c r="A55" s="17" t="s">
        <v>213</v>
      </c>
      <c r="B55" s="17" t="s">
        <v>214</v>
      </c>
      <c r="C55" s="2">
        <f t="shared" si="2"/>
        <v>28864</v>
      </c>
      <c r="D55" t="str">
        <f t="shared" si="0"/>
        <v>Adult</v>
      </c>
      <c r="E55" s="24" t="str">
        <f t="shared" si="1"/>
        <v>Maya.Lang@gmail.com</v>
      </c>
      <c r="F55" t="s">
        <v>526</v>
      </c>
      <c r="G55" t="s">
        <v>800</v>
      </c>
    </row>
    <row r="56" spans="1:7">
      <c r="A56" s="17" t="s">
        <v>215</v>
      </c>
      <c r="B56" s="17" t="s">
        <v>133</v>
      </c>
      <c r="C56" s="2">
        <f t="shared" si="2"/>
        <v>29064</v>
      </c>
      <c r="D56" t="str">
        <f t="shared" si="0"/>
        <v>Adult</v>
      </c>
      <c r="E56" s="24" t="str">
        <f t="shared" si="1"/>
        <v>Calvin.Cantrell@gmail.com</v>
      </c>
      <c r="F56" t="s">
        <v>527</v>
      </c>
      <c r="G56" t="s">
        <v>801</v>
      </c>
    </row>
    <row r="57" spans="1:7">
      <c r="A57" s="17" t="s">
        <v>216</v>
      </c>
      <c r="B57" s="17" t="s">
        <v>217</v>
      </c>
      <c r="C57" s="2">
        <f t="shared" si="2"/>
        <v>29264</v>
      </c>
      <c r="D57" t="str">
        <f t="shared" si="0"/>
        <v>Adult</v>
      </c>
      <c r="E57" s="24" t="str">
        <f t="shared" si="1"/>
        <v>Hyatt.Mcfadden@gmail.com</v>
      </c>
      <c r="F57" t="s">
        <v>528</v>
      </c>
      <c r="G57" t="s">
        <v>802</v>
      </c>
    </row>
    <row r="58" spans="1:7">
      <c r="A58" s="17" t="s">
        <v>218</v>
      </c>
      <c r="B58" s="17" t="s">
        <v>219</v>
      </c>
      <c r="C58" s="2">
        <f t="shared" si="2"/>
        <v>29464</v>
      </c>
      <c r="D58" t="str">
        <f t="shared" si="0"/>
        <v>Adult</v>
      </c>
      <c r="E58" s="24" t="str">
        <f t="shared" si="1"/>
        <v>Irma.Larson@gmail.com</v>
      </c>
      <c r="F58" t="s">
        <v>529</v>
      </c>
      <c r="G58" t="s">
        <v>803</v>
      </c>
    </row>
    <row r="59" spans="1:7">
      <c r="A59" s="17" t="s">
        <v>220</v>
      </c>
      <c r="B59" s="17" t="s">
        <v>121</v>
      </c>
      <c r="C59" s="2">
        <f t="shared" si="2"/>
        <v>29664</v>
      </c>
      <c r="D59" t="str">
        <f t="shared" si="0"/>
        <v>Adult</v>
      </c>
      <c r="E59" s="24" t="str">
        <f t="shared" si="1"/>
        <v>Heather.Coffey@gmail.com</v>
      </c>
      <c r="F59" t="s">
        <v>530</v>
      </c>
      <c r="G59" t="s">
        <v>804</v>
      </c>
    </row>
    <row r="60" spans="1:7">
      <c r="A60" s="17" t="s">
        <v>221</v>
      </c>
      <c r="B60" s="17" t="s">
        <v>222</v>
      </c>
      <c r="C60" s="2">
        <f t="shared" si="2"/>
        <v>29864</v>
      </c>
      <c r="D60" t="str">
        <f t="shared" si="0"/>
        <v>Adult</v>
      </c>
      <c r="E60" s="24" t="str">
        <f t="shared" si="1"/>
        <v>Adena.Joseph@gmail.com</v>
      </c>
      <c r="F60" t="s">
        <v>531</v>
      </c>
      <c r="G60" t="s">
        <v>805</v>
      </c>
    </row>
    <row r="61" spans="1:7">
      <c r="A61" s="17" t="s">
        <v>223</v>
      </c>
      <c r="B61" s="17" t="s">
        <v>224</v>
      </c>
      <c r="C61" s="2">
        <f t="shared" si="2"/>
        <v>30064</v>
      </c>
      <c r="D61" t="str">
        <f t="shared" si="0"/>
        <v>Adult</v>
      </c>
      <c r="E61" s="24" t="str">
        <f t="shared" si="1"/>
        <v>Clementine.Coleman@gmail.com</v>
      </c>
      <c r="F61" t="s">
        <v>532</v>
      </c>
      <c r="G61" t="s">
        <v>806</v>
      </c>
    </row>
    <row r="62" spans="1:7">
      <c r="A62" s="17" t="s">
        <v>138</v>
      </c>
      <c r="B62" s="17" t="s">
        <v>225</v>
      </c>
      <c r="C62" s="2">
        <f t="shared" si="2"/>
        <v>30264</v>
      </c>
      <c r="D62" t="str">
        <f t="shared" si="0"/>
        <v>Adult</v>
      </c>
      <c r="E62" s="24" t="str">
        <f t="shared" si="1"/>
        <v>Paki.Humphrey@gmail.com</v>
      </c>
      <c r="F62" t="s">
        <v>533</v>
      </c>
      <c r="G62" t="s">
        <v>807</v>
      </c>
    </row>
    <row r="63" spans="1:7">
      <c r="A63" s="17" t="s">
        <v>226</v>
      </c>
      <c r="B63" s="17" t="s">
        <v>227</v>
      </c>
      <c r="C63" s="2">
        <f t="shared" si="2"/>
        <v>30464</v>
      </c>
      <c r="D63" t="str">
        <f t="shared" si="0"/>
        <v>Adult</v>
      </c>
      <c r="E63" s="24" t="str">
        <f t="shared" si="1"/>
        <v>Talon.Ayers@gmail.com</v>
      </c>
      <c r="F63" t="s">
        <v>534</v>
      </c>
      <c r="G63" t="s">
        <v>808</v>
      </c>
    </row>
    <row r="64" spans="1:7">
      <c r="A64" s="17" t="s">
        <v>228</v>
      </c>
      <c r="B64" s="17" t="s">
        <v>229</v>
      </c>
      <c r="C64" s="2">
        <f t="shared" si="2"/>
        <v>30664</v>
      </c>
      <c r="D64" t="str">
        <f t="shared" si="0"/>
        <v>Adult</v>
      </c>
      <c r="E64" s="24" t="str">
        <f t="shared" si="1"/>
        <v>Jocelyn.Melton@gmail.com</v>
      </c>
      <c r="F64" t="s">
        <v>535</v>
      </c>
      <c r="G64" t="s">
        <v>809</v>
      </c>
    </row>
    <row r="65" spans="1:7">
      <c r="A65" s="17" t="s">
        <v>230</v>
      </c>
      <c r="B65" s="17" t="s">
        <v>231</v>
      </c>
      <c r="C65" s="2">
        <f t="shared" si="2"/>
        <v>30864</v>
      </c>
      <c r="D65" t="str">
        <f t="shared" si="0"/>
        <v>Adult</v>
      </c>
      <c r="E65" s="24" t="str">
        <f t="shared" si="1"/>
        <v>Simon.Lucas@gmail.com</v>
      </c>
      <c r="F65" t="s">
        <v>536</v>
      </c>
      <c r="G65" t="s">
        <v>810</v>
      </c>
    </row>
    <row r="66" spans="1:7">
      <c r="A66" s="17" t="s">
        <v>232</v>
      </c>
      <c r="B66" s="17" t="s">
        <v>233</v>
      </c>
      <c r="C66" s="2">
        <f t="shared" si="2"/>
        <v>31064</v>
      </c>
      <c r="D66" t="str">
        <f t="shared" si="0"/>
        <v>Adult</v>
      </c>
      <c r="E66" s="24" t="str">
        <f t="shared" si="1"/>
        <v>Judah.Cline@gmail.com</v>
      </c>
      <c r="F66" t="s">
        <v>537</v>
      </c>
      <c r="G66" t="s">
        <v>811</v>
      </c>
    </row>
    <row r="67" spans="1:7">
      <c r="A67" s="17" t="s">
        <v>234</v>
      </c>
      <c r="B67" s="17" t="s">
        <v>235</v>
      </c>
      <c r="C67" s="2">
        <f t="shared" si="2"/>
        <v>31264</v>
      </c>
      <c r="D67" t="str">
        <f t="shared" ref="D67:D130" si="3">IF(C67&lt;DATE(1955,1,1),"Senior",IF(C67&lt;DATE(1995,1,1),"Adult",IF(C67&lt;DATE(2002,1,1),"Young2",IF(C67&lt;DATE(2008,1,1),"Young1","Child"))))</f>
        <v>Adult</v>
      </c>
      <c r="E67" s="24" t="str">
        <f t="shared" ref="E67:E130" si="4">CONCATENATE(A67,".",B67,"@gmail.com")</f>
        <v>Ginger.Holcomb@gmail.com</v>
      </c>
      <c r="F67" t="s">
        <v>538</v>
      </c>
      <c r="G67" t="s">
        <v>812</v>
      </c>
    </row>
    <row r="68" spans="1:7">
      <c r="A68" s="17" t="s">
        <v>236</v>
      </c>
      <c r="B68" s="17" t="s">
        <v>237</v>
      </c>
      <c r="C68" s="2">
        <f t="shared" ref="C68:C117" si="5">C67+200</f>
        <v>31464</v>
      </c>
      <c r="D68" t="str">
        <f t="shared" si="3"/>
        <v>Adult</v>
      </c>
      <c r="E68" s="24" t="str">
        <f t="shared" si="4"/>
        <v>Skyler.Casey@gmail.com</v>
      </c>
      <c r="F68" t="s">
        <v>539</v>
      </c>
      <c r="G68" t="s">
        <v>813</v>
      </c>
    </row>
    <row r="69" spans="1:7">
      <c r="A69" s="17" t="s">
        <v>238</v>
      </c>
      <c r="B69" s="17" t="s">
        <v>239</v>
      </c>
      <c r="C69" s="2">
        <f t="shared" si="5"/>
        <v>31664</v>
      </c>
      <c r="D69" t="str">
        <f t="shared" si="3"/>
        <v>Adult</v>
      </c>
      <c r="E69" s="24" t="str">
        <f t="shared" si="4"/>
        <v>Rashad.Rojas@gmail.com</v>
      </c>
      <c r="F69" t="s">
        <v>540</v>
      </c>
      <c r="G69" t="s">
        <v>814</v>
      </c>
    </row>
    <row r="70" spans="1:7">
      <c r="A70" s="17" t="s">
        <v>240</v>
      </c>
      <c r="B70" s="17" t="s">
        <v>241</v>
      </c>
      <c r="C70" s="2">
        <f t="shared" si="5"/>
        <v>31864</v>
      </c>
      <c r="D70" t="str">
        <f t="shared" si="3"/>
        <v>Adult</v>
      </c>
      <c r="E70" s="24" t="str">
        <f t="shared" si="4"/>
        <v>Madeson.Holloway@gmail.com</v>
      </c>
      <c r="F70" t="s">
        <v>541</v>
      </c>
      <c r="G70" t="s">
        <v>815</v>
      </c>
    </row>
    <row r="71" spans="1:7">
      <c r="A71" s="17" t="s">
        <v>242</v>
      </c>
      <c r="B71" s="17" t="s">
        <v>243</v>
      </c>
      <c r="C71" s="2">
        <f t="shared" si="5"/>
        <v>32064</v>
      </c>
      <c r="D71" t="str">
        <f t="shared" si="3"/>
        <v>Adult</v>
      </c>
      <c r="E71" s="24" t="str">
        <f t="shared" si="4"/>
        <v>Neville.Caldwell@gmail.com</v>
      </c>
      <c r="F71" t="s">
        <v>542</v>
      </c>
      <c r="G71" t="s">
        <v>816</v>
      </c>
    </row>
    <row r="72" spans="1:7">
      <c r="A72" s="17" t="s">
        <v>244</v>
      </c>
      <c r="B72" s="17" t="s">
        <v>245</v>
      </c>
      <c r="C72" s="2">
        <f t="shared" si="5"/>
        <v>32264</v>
      </c>
      <c r="D72" t="str">
        <f t="shared" si="3"/>
        <v>Adult</v>
      </c>
      <c r="E72" s="24" t="str">
        <f t="shared" si="4"/>
        <v>Sonya.Hogan@gmail.com</v>
      </c>
      <c r="F72" t="s">
        <v>543</v>
      </c>
      <c r="G72" t="s">
        <v>817</v>
      </c>
    </row>
    <row r="73" spans="1:7">
      <c r="A73" s="17" t="s">
        <v>246</v>
      </c>
      <c r="B73" s="17" t="s">
        <v>247</v>
      </c>
      <c r="C73" s="2">
        <f t="shared" si="5"/>
        <v>32464</v>
      </c>
      <c r="D73" t="str">
        <f t="shared" si="3"/>
        <v>Adult</v>
      </c>
      <c r="E73" s="24" t="str">
        <f t="shared" si="4"/>
        <v>Kylie.Meadows@gmail.com</v>
      </c>
      <c r="F73" t="s">
        <v>544</v>
      </c>
      <c r="G73" t="s">
        <v>818</v>
      </c>
    </row>
    <row r="74" spans="1:7">
      <c r="A74" s="17" t="s">
        <v>248</v>
      </c>
      <c r="B74" s="17" t="s">
        <v>249</v>
      </c>
      <c r="C74" s="2">
        <f t="shared" si="5"/>
        <v>32664</v>
      </c>
      <c r="D74" t="str">
        <f t="shared" si="3"/>
        <v>Adult</v>
      </c>
      <c r="E74" s="24" t="str">
        <f t="shared" si="4"/>
        <v>Kylee.Solis@gmail.com</v>
      </c>
      <c r="F74" t="s">
        <v>545</v>
      </c>
      <c r="G74" t="s">
        <v>819</v>
      </c>
    </row>
    <row r="75" spans="1:7">
      <c r="A75" s="17" t="s">
        <v>250</v>
      </c>
      <c r="B75" s="17" t="s">
        <v>251</v>
      </c>
      <c r="C75" s="2">
        <f t="shared" si="5"/>
        <v>32864</v>
      </c>
      <c r="D75" t="str">
        <f t="shared" si="3"/>
        <v>Adult</v>
      </c>
      <c r="E75" s="24" t="str">
        <f t="shared" si="4"/>
        <v>Lenore.Wiggins@gmail.com</v>
      </c>
      <c r="F75" t="s">
        <v>546</v>
      </c>
      <c r="G75" t="s">
        <v>820</v>
      </c>
    </row>
    <row r="76" spans="1:7">
      <c r="A76" s="17" t="s">
        <v>252</v>
      </c>
      <c r="B76" s="17" t="s">
        <v>253</v>
      </c>
      <c r="C76" s="2">
        <f t="shared" si="5"/>
        <v>33064</v>
      </c>
      <c r="D76" t="str">
        <f t="shared" si="3"/>
        <v>Adult</v>
      </c>
      <c r="E76" s="24" t="str">
        <f t="shared" si="4"/>
        <v>Hilary.Frost@gmail.com</v>
      </c>
      <c r="F76" t="s">
        <v>547</v>
      </c>
      <c r="G76" t="s">
        <v>821</v>
      </c>
    </row>
    <row r="77" spans="1:7">
      <c r="A77" s="17" t="s">
        <v>254</v>
      </c>
      <c r="B77" s="17" t="s">
        <v>255</v>
      </c>
      <c r="C77" s="2">
        <f t="shared" si="5"/>
        <v>33264</v>
      </c>
      <c r="D77" t="str">
        <f t="shared" si="3"/>
        <v>Adult</v>
      </c>
      <c r="E77" s="24" t="str">
        <f t="shared" si="4"/>
        <v>Norman.Fisher@gmail.com</v>
      </c>
      <c r="F77" t="s">
        <v>548</v>
      </c>
      <c r="G77" t="s">
        <v>822</v>
      </c>
    </row>
    <row r="78" spans="1:7">
      <c r="A78" s="17" t="s">
        <v>256</v>
      </c>
      <c r="B78" s="17" t="s">
        <v>257</v>
      </c>
      <c r="C78" s="2">
        <f t="shared" si="5"/>
        <v>33464</v>
      </c>
      <c r="D78" t="str">
        <f t="shared" si="3"/>
        <v>Adult</v>
      </c>
      <c r="E78" s="24" t="str">
        <f t="shared" si="4"/>
        <v>Genevieve.Hull@gmail.com</v>
      </c>
      <c r="F78" t="s">
        <v>549</v>
      </c>
      <c r="G78" t="s">
        <v>823</v>
      </c>
    </row>
    <row r="79" spans="1:7">
      <c r="A79" s="17" t="s">
        <v>258</v>
      </c>
      <c r="B79" s="17" t="s">
        <v>259</v>
      </c>
      <c r="C79" s="2">
        <f t="shared" si="5"/>
        <v>33664</v>
      </c>
      <c r="D79" t="str">
        <f t="shared" si="3"/>
        <v>Adult</v>
      </c>
      <c r="E79" s="24" t="str">
        <f t="shared" si="4"/>
        <v>Chase.Marsh@gmail.com</v>
      </c>
      <c r="F79" t="s">
        <v>550</v>
      </c>
      <c r="G79" t="s">
        <v>824</v>
      </c>
    </row>
    <row r="80" spans="1:7">
      <c r="A80" s="17" t="s">
        <v>260</v>
      </c>
      <c r="B80" s="17" t="s">
        <v>261</v>
      </c>
      <c r="C80" s="2">
        <f t="shared" si="5"/>
        <v>33864</v>
      </c>
      <c r="D80" t="str">
        <f t="shared" si="3"/>
        <v>Adult</v>
      </c>
      <c r="E80" s="24" t="str">
        <f t="shared" si="4"/>
        <v>Wayne.Gould@gmail.com</v>
      </c>
      <c r="F80" t="s">
        <v>551</v>
      </c>
      <c r="G80" t="s">
        <v>825</v>
      </c>
    </row>
    <row r="81" spans="1:7">
      <c r="A81" s="17" t="s">
        <v>262</v>
      </c>
      <c r="B81" s="17" t="s">
        <v>263</v>
      </c>
      <c r="C81" s="2">
        <f t="shared" si="5"/>
        <v>34064</v>
      </c>
      <c r="D81" t="str">
        <f t="shared" si="3"/>
        <v>Adult</v>
      </c>
      <c r="E81" s="24" t="str">
        <f t="shared" si="4"/>
        <v>Shellie.Foster@gmail.com</v>
      </c>
      <c r="F81" t="s">
        <v>552</v>
      </c>
      <c r="G81" t="s">
        <v>826</v>
      </c>
    </row>
    <row r="82" spans="1:7">
      <c r="A82" s="17" t="s">
        <v>264</v>
      </c>
      <c r="B82" s="17" t="s">
        <v>265</v>
      </c>
      <c r="C82" s="2">
        <f t="shared" si="5"/>
        <v>34264</v>
      </c>
      <c r="D82" t="str">
        <f t="shared" si="3"/>
        <v>Adult</v>
      </c>
      <c r="E82" s="24" t="str">
        <f t="shared" si="4"/>
        <v>Amery.Dennis@gmail.com</v>
      </c>
      <c r="F82" t="s">
        <v>553</v>
      </c>
      <c r="G82" t="s">
        <v>827</v>
      </c>
    </row>
    <row r="83" spans="1:7">
      <c r="A83" s="17" t="s">
        <v>266</v>
      </c>
      <c r="B83" s="17" t="s">
        <v>267</v>
      </c>
      <c r="C83" s="2">
        <f t="shared" si="5"/>
        <v>34464</v>
      </c>
      <c r="D83" t="str">
        <f t="shared" si="3"/>
        <v>Adult</v>
      </c>
      <c r="E83" s="24" t="str">
        <f t="shared" si="4"/>
        <v>Wilma.Mccullough@gmail.com</v>
      </c>
      <c r="F83" t="s">
        <v>554</v>
      </c>
      <c r="G83" t="s">
        <v>828</v>
      </c>
    </row>
    <row r="84" spans="1:7">
      <c r="A84" s="17" t="s">
        <v>268</v>
      </c>
      <c r="B84" s="17" t="s">
        <v>168</v>
      </c>
      <c r="C84" s="2">
        <f t="shared" si="5"/>
        <v>34664</v>
      </c>
      <c r="D84" t="str">
        <f t="shared" si="3"/>
        <v>Adult</v>
      </c>
      <c r="E84" s="24" t="str">
        <f t="shared" si="4"/>
        <v>Shelley.Ramsey@gmail.com</v>
      </c>
      <c r="F84" t="s">
        <v>555</v>
      </c>
      <c r="G84" t="s">
        <v>829</v>
      </c>
    </row>
    <row r="85" spans="1:7">
      <c r="A85" s="17" t="s">
        <v>269</v>
      </c>
      <c r="B85" s="17" t="s">
        <v>270</v>
      </c>
      <c r="C85" s="2">
        <f t="shared" si="5"/>
        <v>34864</v>
      </c>
      <c r="D85" t="str">
        <f t="shared" si="3"/>
        <v>Young2</v>
      </c>
      <c r="E85" s="24" t="str">
        <f t="shared" si="4"/>
        <v>Meghan.Cooley@gmail.com</v>
      </c>
      <c r="F85" t="s">
        <v>556</v>
      </c>
      <c r="G85" t="s">
        <v>830</v>
      </c>
    </row>
    <row r="86" spans="1:7">
      <c r="A86" s="17" t="s">
        <v>271</v>
      </c>
      <c r="B86" s="17" t="s">
        <v>272</v>
      </c>
      <c r="C86" s="2">
        <f t="shared" si="5"/>
        <v>35064</v>
      </c>
      <c r="D86" t="str">
        <f t="shared" si="3"/>
        <v>Young2</v>
      </c>
      <c r="E86" s="24" t="str">
        <f t="shared" si="4"/>
        <v>Wade.Dodson@gmail.com</v>
      </c>
      <c r="F86" t="s">
        <v>557</v>
      </c>
      <c r="G86" t="s">
        <v>831</v>
      </c>
    </row>
    <row r="87" spans="1:7">
      <c r="A87" s="17" t="s">
        <v>273</v>
      </c>
      <c r="B87" s="17" t="s">
        <v>274</v>
      </c>
      <c r="C87" s="2">
        <f t="shared" si="5"/>
        <v>35264</v>
      </c>
      <c r="D87" t="str">
        <f t="shared" si="3"/>
        <v>Young2</v>
      </c>
      <c r="E87" s="24" t="str">
        <f t="shared" si="4"/>
        <v>Halee.Woodard@gmail.com</v>
      </c>
      <c r="F87" t="s">
        <v>558</v>
      </c>
      <c r="G87" t="s">
        <v>832</v>
      </c>
    </row>
    <row r="88" spans="1:7">
      <c r="A88" s="17" t="s">
        <v>275</v>
      </c>
      <c r="B88" s="17" t="s">
        <v>210</v>
      </c>
      <c r="C88" s="2">
        <f t="shared" si="5"/>
        <v>35464</v>
      </c>
      <c r="D88" t="str">
        <f t="shared" si="3"/>
        <v>Young2</v>
      </c>
      <c r="E88" s="24" t="str">
        <f t="shared" si="4"/>
        <v>Phillip.Garrett@gmail.com</v>
      </c>
      <c r="F88" t="s">
        <v>559</v>
      </c>
      <c r="G88" t="s">
        <v>833</v>
      </c>
    </row>
    <row r="89" spans="1:7">
      <c r="A89" s="17" t="s">
        <v>276</v>
      </c>
      <c r="B89" s="17" t="s">
        <v>277</v>
      </c>
      <c r="C89" s="2">
        <f t="shared" si="5"/>
        <v>35664</v>
      </c>
      <c r="D89" t="str">
        <f t="shared" si="3"/>
        <v>Young2</v>
      </c>
      <c r="E89" s="24" t="str">
        <f t="shared" si="4"/>
        <v>Carter.Harper@gmail.com</v>
      </c>
      <c r="F89" t="s">
        <v>560</v>
      </c>
      <c r="G89" t="s">
        <v>834</v>
      </c>
    </row>
    <row r="90" spans="1:7">
      <c r="A90" s="17" t="s">
        <v>278</v>
      </c>
      <c r="B90" s="17" t="s">
        <v>279</v>
      </c>
      <c r="C90" s="2">
        <f t="shared" si="5"/>
        <v>35864</v>
      </c>
      <c r="D90" t="str">
        <f t="shared" si="3"/>
        <v>Young2</v>
      </c>
      <c r="E90" s="24" t="str">
        <f t="shared" si="4"/>
        <v>Burke.Mclean@gmail.com</v>
      </c>
      <c r="F90" t="s">
        <v>561</v>
      </c>
      <c r="G90" t="s">
        <v>835</v>
      </c>
    </row>
    <row r="91" spans="1:7">
      <c r="A91" s="17" t="s">
        <v>280</v>
      </c>
      <c r="B91" s="17" t="s">
        <v>281</v>
      </c>
      <c r="C91" s="2">
        <f t="shared" si="5"/>
        <v>36064</v>
      </c>
      <c r="D91" t="str">
        <f t="shared" si="3"/>
        <v>Young2</v>
      </c>
      <c r="E91" s="24" t="str">
        <f t="shared" si="4"/>
        <v>Owen.Pollard@gmail.com</v>
      </c>
      <c r="F91" t="s">
        <v>562</v>
      </c>
      <c r="G91" t="s">
        <v>836</v>
      </c>
    </row>
    <row r="92" spans="1:7">
      <c r="A92" s="17" t="s">
        <v>282</v>
      </c>
      <c r="B92" s="17" t="s">
        <v>283</v>
      </c>
      <c r="C92" s="2">
        <f t="shared" si="5"/>
        <v>36264</v>
      </c>
      <c r="D92" t="str">
        <f t="shared" si="3"/>
        <v>Young2</v>
      </c>
      <c r="E92" s="24" t="str">
        <f t="shared" si="4"/>
        <v>Yeo.Mack@gmail.com</v>
      </c>
      <c r="F92" t="s">
        <v>563</v>
      </c>
      <c r="G92" t="s">
        <v>837</v>
      </c>
    </row>
    <row r="93" spans="1:7">
      <c r="A93" s="17" t="s">
        <v>284</v>
      </c>
      <c r="B93" s="17" t="s">
        <v>257</v>
      </c>
      <c r="C93" s="2">
        <f t="shared" si="5"/>
        <v>36464</v>
      </c>
      <c r="D93" t="str">
        <f t="shared" si="3"/>
        <v>Young2</v>
      </c>
      <c r="E93" s="24" t="str">
        <f t="shared" si="4"/>
        <v>Summer.Hull@gmail.com</v>
      </c>
      <c r="F93" t="s">
        <v>564</v>
      </c>
      <c r="G93" t="s">
        <v>838</v>
      </c>
    </row>
    <row r="94" spans="1:7">
      <c r="A94" s="17" t="s">
        <v>285</v>
      </c>
      <c r="B94" s="17" t="s">
        <v>286</v>
      </c>
      <c r="C94" s="2">
        <f t="shared" si="5"/>
        <v>36664</v>
      </c>
      <c r="D94" t="str">
        <f t="shared" si="3"/>
        <v>Young2</v>
      </c>
      <c r="E94" s="24" t="str">
        <f t="shared" si="4"/>
        <v>Wing.Garrison@gmail.com</v>
      </c>
      <c r="F94" t="s">
        <v>565</v>
      </c>
      <c r="G94" t="s">
        <v>839</v>
      </c>
    </row>
    <row r="95" spans="1:7">
      <c r="A95" s="17" t="s">
        <v>287</v>
      </c>
      <c r="B95" s="17" t="s">
        <v>288</v>
      </c>
      <c r="C95" s="2">
        <f t="shared" si="5"/>
        <v>36864</v>
      </c>
      <c r="D95" t="str">
        <f t="shared" si="3"/>
        <v>Young2</v>
      </c>
      <c r="E95" s="24" t="str">
        <f t="shared" si="4"/>
        <v>Ignacia.Kinney@gmail.com</v>
      </c>
      <c r="F95" t="s">
        <v>566</v>
      </c>
      <c r="G95" t="s">
        <v>840</v>
      </c>
    </row>
    <row r="96" spans="1:7">
      <c r="A96" s="17" t="s">
        <v>177</v>
      </c>
      <c r="B96" s="17" t="s">
        <v>289</v>
      </c>
      <c r="C96" s="2">
        <f t="shared" si="5"/>
        <v>37064</v>
      </c>
      <c r="D96" t="str">
        <f t="shared" si="3"/>
        <v>Young2</v>
      </c>
      <c r="E96" s="24" t="str">
        <f t="shared" si="4"/>
        <v>Illiana.Martinez@gmail.com</v>
      </c>
      <c r="F96" t="s">
        <v>567</v>
      </c>
      <c r="G96" t="s">
        <v>841</v>
      </c>
    </row>
    <row r="97" spans="1:7">
      <c r="A97" s="17" t="s">
        <v>290</v>
      </c>
      <c r="B97" s="17" t="s">
        <v>291</v>
      </c>
      <c r="C97" s="2">
        <f t="shared" si="5"/>
        <v>37264</v>
      </c>
      <c r="D97" t="str">
        <f t="shared" si="3"/>
        <v>Young1</v>
      </c>
      <c r="E97" s="24" t="str">
        <f t="shared" si="4"/>
        <v>Driscoll.Hunter@gmail.com</v>
      </c>
      <c r="F97" t="s">
        <v>568</v>
      </c>
      <c r="G97" t="s">
        <v>842</v>
      </c>
    </row>
    <row r="98" spans="1:7">
      <c r="A98" s="17" t="s">
        <v>292</v>
      </c>
      <c r="B98" s="17" t="s">
        <v>293</v>
      </c>
      <c r="C98" s="2">
        <f t="shared" si="5"/>
        <v>37464</v>
      </c>
      <c r="D98" t="str">
        <f t="shared" si="3"/>
        <v>Young1</v>
      </c>
      <c r="E98" s="24" t="str">
        <f t="shared" si="4"/>
        <v>Aidan.Farrell@gmail.com</v>
      </c>
      <c r="F98" t="s">
        <v>569</v>
      </c>
      <c r="G98" t="s">
        <v>843</v>
      </c>
    </row>
    <row r="99" spans="1:7">
      <c r="A99" s="17" t="s">
        <v>294</v>
      </c>
      <c r="B99" s="17" t="s">
        <v>295</v>
      </c>
      <c r="C99" s="2">
        <f t="shared" si="5"/>
        <v>37664</v>
      </c>
      <c r="D99" t="str">
        <f t="shared" si="3"/>
        <v>Young1</v>
      </c>
      <c r="E99" s="24" t="str">
        <f t="shared" si="4"/>
        <v>Cleo.Hale@gmail.com</v>
      </c>
      <c r="F99" t="s">
        <v>570</v>
      </c>
      <c r="G99" t="s">
        <v>844</v>
      </c>
    </row>
    <row r="100" spans="1:7">
      <c r="A100" s="17" t="s">
        <v>296</v>
      </c>
      <c r="B100" s="17" t="s">
        <v>297</v>
      </c>
      <c r="C100" s="2">
        <f t="shared" si="5"/>
        <v>37864</v>
      </c>
      <c r="D100" t="str">
        <f t="shared" si="3"/>
        <v>Young1</v>
      </c>
      <c r="E100" s="24" t="str">
        <f t="shared" si="4"/>
        <v>Griffith.Bush@gmail.com</v>
      </c>
      <c r="F100" t="s">
        <v>571</v>
      </c>
      <c r="G100" t="s">
        <v>845</v>
      </c>
    </row>
    <row r="101" spans="1:7" ht="15.75" thickBot="1">
      <c r="A101" s="17" t="s">
        <v>298</v>
      </c>
      <c r="B101" s="17" t="s">
        <v>299</v>
      </c>
      <c r="C101" s="2">
        <f t="shared" si="5"/>
        <v>38064</v>
      </c>
      <c r="D101" t="str">
        <f t="shared" si="3"/>
        <v>Young1</v>
      </c>
      <c r="E101" s="24" t="str">
        <f t="shared" si="4"/>
        <v>Scott.Henderson@gmail.com</v>
      </c>
      <c r="F101" t="s">
        <v>572</v>
      </c>
      <c r="G101" t="s">
        <v>846</v>
      </c>
    </row>
    <row r="102" spans="1:7" ht="15.75" thickTop="1">
      <c r="A102" s="19" t="s">
        <v>208</v>
      </c>
      <c r="B102" s="20" t="s">
        <v>300</v>
      </c>
      <c r="C102" s="2">
        <f t="shared" si="5"/>
        <v>38264</v>
      </c>
      <c r="D102" t="str">
        <f t="shared" si="3"/>
        <v>Young1</v>
      </c>
      <c r="E102" s="24" t="str">
        <f t="shared" si="4"/>
        <v>Miranda.Drake@gmail.com</v>
      </c>
      <c r="F102" t="s">
        <v>647</v>
      </c>
      <c r="G102" t="s">
        <v>887</v>
      </c>
    </row>
    <row r="103" spans="1:7">
      <c r="A103" s="21" t="s">
        <v>301</v>
      </c>
      <c r="B103" s="18" t="s">
        <v>302</v>
      </c>
      <c r="C103" s="2">
        <f t="shared" si="5"/>
        <v>38464</v>
      </c>
      <c r="D103" t="str">
        <f t="shared" si="3"/>
        <v>Young1</v>
      </c>
      <c r="E103" s="24" t="str">
        <f t="shared" si="4"/>
        <v>Fletcher.Burnett@gmail.com</v>
      </c>
      <c r="F103" t="s">
        <v>648</v>
      </c>
      <c r="G103" t="s">
        <v>888</v>
      </c>
    </row>
    <row r="104" spans="1:7">
      <c r="A104" s="21" t="s">
        <v>303</v>
      </c>
      <c r="B104" s="18" t="s">
        <v>304</v>
      </c>
      <c r="C104" s="2">
        <f t="shared" si="5"/>
        <v>38664</v>
      </c>
      <c r="D104" t="str">
        <f t="shared" si="3"/>
        <v>Young1</v>
      </c>
      <c r="E104" s="24" t="str">
        <f t="shared" si="4"/>
        <v>Stone.Young@gmail.com</v>
      </c>
      <c r="F104" t="s">
        <v>649</v>
      </c>
      <c r="G104" t="s">
        <v>889</v>
      </c>
    </row>
    <row r="105" spans="1:7">
      <c r="A105" s="21" t="s">
        <v>305</v>
      </c>
      <c r="B105" s="18" t="s">
        <v>306</v>
      </c>
      <c r="C105" s="2">
        <f t="shared" si="5"/>
        <v>38864</v>
      </c>
      <c r="D105" t="str">
        <f t="shared" si="3"/>
        <v>Young1</v>
      </c>
      <c r="E105" s="24" t="str">
        <f t="shared" si="4"/>
        <v>Wendy.Henry@gmail.com</v>
      </c>
      <c r="F105" t="s">
        <v>650</v>
      </c>
      <c r="G105" t="s">
        <v>890</v>
      </c>
    </row>
    <row r="106" spans="1:7">
      <c r="A106" s="21" t="s">
        <v>307</v>
      </c>
      <c r="B106" s="18" t="s">
        <v>308</v>
      </c>
      <c r="C106" s="2">
        <f t="shared" si="5"/>
        <v>39064</v>
      </c>
      <c r="D106" t="str">
        <f t="shared" si="3"/>
        <v>Young1</v>
      </c>
      <c r="E106" s="24" t="str">
        <f t="shared" si="4"/>
        <v>Harding.Weber@gmail.com</v>
      </c>
      <c r="F106" t="s">
        <v>651</v>
      </c>
      <c r="G106" t="s">
        <v>891</v>
      </c>
    </row>
    <row r="107" spans="1:7">
      <c r="A107" s="21" t="s">
        <v>309</v>
      </c>
      <c r="B107" s="18" t="s">
        <v>310</v>
      </c>
      <c r="C107" s="2">
        <f t="shared" si="5"/>
        <v>39264</v>
      </c>
      <c r="D107" t="str">
        <f t="shared" si="3"/>
        <v>Young1</v>
      </c>
      <c r="E107" s="24" t="str">
        <f t="shared" si="4"/>
        <v>Paul.Castro@gmail.com</v>
      </c>
      <c r="F107" t="s">
        <v>652</v>
      </c>
      <c r="G107" t="s">
        <v>892</v>
      </c>
    </row>
    <row r="108" spans="1:7">
      <c r="A108" s="21" t="s">
        <v>311</v>
      </c>
      <c r="B108" s="18" t="s">
        <v>312</v>
      </c>
      <c r="C108" s="2">
        <f t="shared" si="5"/>
        <v>39464</v>
      </c>
      <c r="D108" t="str">
        <f t="shared" si="3"/>
        <v>Child</v>
      </c>
      <c r="E108" s="24" t="str">
        <f t="shared" si="4"/>
        <v>Pearl.Dixon@gmail.com</v>
      </c>
      <c r="F108" t="s">
        <v>653</v>
      </c>
      <c r="G108" t="s">
        <v>893</v>
      </c>
    </row>
    <row r="109" spans="1:7">
      <c r="A109" s="21" t="s">
        <v>313</v>
      </c>
      <c r="B109" s="18" t="s">
        <v>314</v>
      </c>
      <c r="C109" s="2">
        <f t="shared" si="5"/>
        <v>39664</v>
      </c>
      <c r="D109" t="str">
        <f t="shared" si="3"/>
        <v>Child</v>
      </c>
      <c r="E109" s="24" t="str">
        <f t="shared" si="4"/>
        <v>Ariel.Quinn@gmail.com</v>
      </c>
      <c r="F109" t="s">
        <v>654</v>
      </c>
      <c r="G109" t="s">
        <v>894</v>
      </c>
    </row>
    <row r="110" spans="1:7">
      <c r="A110" s="21" t="s">
        <v>315</v>
      </c>
      <c r="B110" s="18" t="s">
        <v>316</v>
      </c>
      <c r="C110" s="2">
        <f t="shared" si="5"/>
        <v>39864</v>
      </c>
      <c r="D110" t="str">
        <f t="shared" si="3"/>
        <v>Child</v>
      </c>
      <c r="E110" s="24" t="str">
        <f t="shared" si="4"/>
        <v>Maxine.Gilbert@gmail.com</v>
      </c>
      <c r="F110" t="s">
        <v>655</v>
      </c>
      <c r="G110" t="s">
        <v>895</v>
      </c>
    </row>
    <row r="111" spans="1:7">
      <c r="A111" s="21" t="s">
        <v>317</v>
      </c>
      <c r="B111" s="18" t="s">
        <v>318</v>
      </c>
      <c r="C111" s="2">
        <f t="shared" si="5"/>
        <v>40064</v>
      </c>
      <c r="D111" t="str">
        <f t="shared" si="3"/>
        <v>Child</v>
      </c>
      <c r="E111" s="24" t="str">
        <f t="shared" si="4"/>
        <v>Mannix.Mcclain@gmail.com</v>
      </c>
      <c r="F111" t="s">
        <v>656</v>
      </c>
      <c r="G111" t="s">
        <v>896</v>
      </c>
    </row>
    <row r="112" spans="1:7">
      <c r="A112" s="21" t="s">
        <v>319</v>
      </c>
      <c r="B112" s="18" t="s">
        <v>320</v>
      </c>
      <c r="C112" s="2">
        <f t="shared" si="5"/>
        <v>40264</v>
      </c>
      <c r="D112" t="str">
        <f t="shared" si="3"/>
        <v>Child</v>
      </c>
      <c r="E112" s="24" t="str">
        <f t="shared" si="4"/>
        <v>Hayden.Patterson@gmail.com</v>
      </c>
      <c r="F112" t="s">
        <v>657</v>
      </c>
      <c r="G112" t="s">
        <v>897</v>
      </c>
    </row>
    <row r="113" spans="1:7">
      <c r="A113" s="21" t="s">
        <v>321</v>
      </c>
      <c r="B113" s="18" t="s">
        <v>322</v>
      </c>
      <c r="C113" s="2">
        <f t="shared" si="5"/>
        <v>40464</v>
      </c>
      <c r="D113" t="str">
        <f t="shared" si="3"/>
        <v>Child</v>
      </c>
      <c r="E113" s="24" t="str">
        <f t="shared" si="4"/>
        <v>Unity.Reese@gmail.com</v>
      </c>
      <c r="F113" t="s">
        <v>658</v>
      </c>
      <c r="G113" t="s">
        <v>898</v>
      </c>
    </row>
    <row r="114" spans="1:7">
      <c r="A114" s="21" t="s">
        <v>323</v>
      </c>
      <c r="B114" s="18" t="s">
        <v>299</v>
      </c>
      <c r="C114" s="2">
        <f t="shared" si="5"/>
        <v>40664</v>
      </c>
      <c r="D114" t="str">
        <f t="shared" si="3"/>
        <v>Child</v>
      </c>
      <c r="E114" s="24" t="str">
        <f t="shared" si="4"/>
        <v>Denton.Henderson@gmail.com</v>
      </c>
      <c r="F114" t="s">
        <v>659</v>
      </c>
      <c r="G114" t="s">
        <v>899</v>
      </c>
    </row>
    <row r="115" spans="1:7">
      <c r="A115" s="21" t="s">
        <v>324</v>
      </c>
      <c r="B115" s="18" t="s">
        <v>325</v>
      </c>
      <c r="C115" s="2">
        <f t="shared" si="5"/>
        <v>40864</v>
      </c>
      <c r="D115" t="str">
        <f t="shared" si="3"/>
        <v>Child</v>
      </c>
      <c r="E115" s="24" t="str">
        <f t="shared" si="4"/>
        <v>Cooper.Boone@gmail.com</v>
      </c>
      <c r="F115" t="s">
        <v>660</v>
      </c>
      <c r="G115" t="s">
        <v>900</v>
      </c>
    </row>
    <row r="116" spans="1:7">
      <c r="A116" s="21" t="s">
        <v>326</v>
      </c>
      <c r="B116" s="18" t="s">
        <v>247</v>
      </c>
      <c r="C116" s="2">
        <f t="shared" si="5"/>
        <v>41064</v>
      </c>
      <c r="D116" t="str">
        <f t="shared" si="3"/>
        <v>Child</v>
      </c>
      <c r="E116" s="24" t="str">
        <f t="shared" si="4"/>
        <v>Yvette.Meadows@gmail.com</v>
      </c>
      <c r="F116" t="s">
        <v>661</v>
      </c>
      <c r="G116" t="s">
        <v>901</v>
      </c>
    </row>
    <row r="117" spans="1:7">
      <c r="A117" s="21" t="s">
        <v>327</v>
      </c>
      <c r="B117" s="18" t="s">
        <v>328</v>
      </c>
      <c r="C117" s="2">
        <f t="shared" si="5"/>
        <v>41264</v>
      </c>
      <c r="D117" t="str">
        <f t="shared" si="3"/>
        <v>Child</v>
      </c>
      <c r="E117" s="24" t="str">
        <f t="shared" si="4"/>
        <v>Nayda.Cochran@gmail.com</v>
      </c>
      <c r="F117" t="s">
        <v>662</v>
      </c>
      <c r="G117" t="s">
        <v>902</v>
      </c>
    </row>
    <row r="118" spans="1:7">
      <c r="A118" s="21" t="s">
        <v>171</v>
      </c>
      <c r="B118" s="18" t="s">
        <v>329</v>
      </c>
      <c r="C118" s="2">
        <f>C117+200</f>
        <v>41464</v>
      </c>
      <c r="D118" t="str">
        <f t="shared" si="3"/>
        <v>Child</v>
      </c>
      <c r="E118" s="24" t="str">
        <f t="shared" si="4"/>
        <v>Leilani.Clemons@gmail.com</v>
      </c>
      <c r="F118" t="s">
        <v>663</v>
      </c>
      <c r="G118" t="s">
        <v>903</v>
      </c>
    </row>
    <row r="119" spans="1:7">
      <c r="A119" s="21" t="s">
        <v>330</v>
      </c>
      <c r="B119" s="18" t="s">
        <v>331</v>
      </c>
      <c r="C119" s="2">
        <f t="shared" ref="C119:C129" si="6">C118+200</f>
        <v>41664</v>
      </c>
      <c r="D119" t="str">
        <f t="shared" si="3"/>
        <v>Child</v>
      </c>
      <c r="E119" s="24" t="str">
        <f t="shared" si="4"/>
        <v>Jesse.Irwin@gmail.com</v>
      </c>
      <c r="F119" t="s">
        <v>664</v>
      </c>
      <c r="G119" t="s">
        <v>904</v>
      </c>
    </row>
    <row r="120" spans="1:7">
      <c r="A120" s="21" t="s">
        <v>332</v>
      </c>
      <c r="B120" s="18" t="s">
        <v>333</v>
      </c>
      <c r="C120" s="2">
        <f t="shared" si="6"/>
        <v>41864</v>
      </c>
      <c r="D120" t="str">
        <f t="shared" si="3"/>
        <v>Child</v>
      </c>
      <c r="E120" s="24" t="str">
        <f t="shared" si="4"/>
        <v>Alana.Ramirez@gmail.com</v>
      </c>
      <c r="F120" t="s">
        <v>665</v>
      </c>
      <c r="G120" t="s">
        <v>905</v>
      </c>
    </row>
    <row r="121" spans="1:7">
      <c r="A121" s="21" t="s">
        <v>334</v>
      </c>
      <c r="B121" s="18" t="s">
        <v>335</v>
      </c>
      <c r="C121" s="2">
        <f t="shared" si="6"/>
        <v>42064</v>
      </c>
      <c r="D121" t="str">
        <f t="shared" si="3"/>
        <v>Child</v>
      </c>
      <c r="E121" s="24" t="str">
        <f t="shared" si="4"/>
        <v>Acton.Hudson@gmail.com</v>
      </c>
      <c r="F121" t="s">
        <v>666</v>
      </c>
      <c r="G121" t="s">
        <v>906</v>
      </c>
    </row>
    <row r="122" spans="1:7">
      <c r="A122" s="21" t="s">
        <v>336</v>
      </c>
      <c r="B122" s="18" t="s">
        <v>309</v>
      </c>
      <c r="C122" s="2">
        <f t="shared" si="6"/>
        <v>42264</v>
      </c>
      <c r="D122" t="str">
        <f t="shared" si="3"/>
        <v>Child</v>
      </c>
      <c r="E122" s="24" t="str">
        <f t="shared" si="4"/>
        <v>Hermione.Paul@gmail.com</v>
      </c>
      <c r="F122" t="s">
        <v>667</v>
      </c>
      <c r="G122" t="s">
        <v>907</v>
      </c>
    </row>
    <row r="123" spans="1:7">
      <c r="A123" s="21" t="s">
        <v>337</v>
      </c>
      <c r="B123" s="18" t="s">
        <v>338</v>
      </c>
      <c r="C123" s="2">
        <f t="shared" si="6"/>
        <v>42464</v>
      </c>
      <c r="D123" t="str">
        <f t="shared" si="3"/>
        <v>Child</v>
      </c>
      <c r="E123" s="24" t="str">
        <f t="shared" si="4"/>
        <v>Josephine.Sellers@gmail.com</v>
      </c>
      <c r="F123" t="s">
        <v>668</v>
      </c>
      <c r="G123" t="s">
        <v>908</v>
      </c>
    </row>
    <row r="124" spans="1:7">
      <c r="A124" s="21" t="s">
        <v>298</v>
      </c>
      <c r="B124" s="18" t="s">
        <v>339</v>
      </c>
      <c r="C124" s="2">
        <f t="shared" si="6"/>
        <v>42664</v>
      </c>
      <c r="D124" t="str">
        <f t="shared" si="3"/>
        <v>Child</v>
      </c>
      <c r="E124" s="24" t="str">
        <f t="shared" si="4"/>
        <v>Scott.Eaton@gmail.com</v>
      </c>
      <c r="F124" t="s">
        <v>669</v>
      </c>
      <c r="G124" t="s">
        <v>909</v>
      </c>
    </row>
    <row r="125" spans="1:7">
      <c r="A125" s="21" t="s">
        <v>340</v>
      </c>
      <c r="B125" s="18" t="s">
        <v>341</v>
      </c>
      <c r="C125" s="2">
        <f t="shared" si="6"/>
        <v>42864</v>
      </c>
      <c r="D125" t="str">
        <f t="shared" si="3"/>
        <v>Child</v>
      </c>
      <c r="E125" s="24" t="str">
        <f t="shared" si="4"/>
        <v>Jordan.Guy@gmail.com</v>
      </c>
      <c r="F125" t="s">
        <v>670</v>
      </c>
      <c r="G125" t="s">
        <v>910</v>
      </c>
    </row>
    <row r="126" spans="1:7">
      <c r="A126" s="21" t="s">
        <v>342</v>
      </c>
      <c r="B126" s="18" t="s">
        <v>159</v>
      </c>
      <c r="C126" s="2">
        <f t="shared" si="6"/>
        <v>43064</v>
      </c>
      <c r="D126" t="str">
        <f t="shared" si="3"/>
        <v>Child</v>
      </c>
      <c r="E126" s="24" t="str">
        <f t="shared" si="4"/>
        <v>Alfonso.Whitehead@gmail.com</v>
      </c>
      <c r="F126" t="s">
        <v>671</v>
      </c>
      <c r="G126" t="s">
        <v>911</v>
      </c>
    </row>
    <row r="127" spans="1:7">
      <c r="A127" s="21" t="s">
        <v>343</v>
      </c>
      <c r="B127" s="18" t="s">
        <v>344</v>
      </c>
      <c r="C127" s="2">
        <f t="shared" si="6"/>
        <v>43264</v>
      </c>
      <c r="D127" t="str">
        <f t="shared" si="3"/>
        <v>Child</v>
      </c>
      <c r="E127" s="24" t="str">
        <f t="shared" si="4"/>
        <v>Imani.Sears@gmail.com</v>
      </c>
      <c r="F127" t="s">
        <v>672</v>
      </c>
      <c r="G127" t="s">
        <v>912</v>
      </c>
    </row>
    <row r="128" spans="1:7">
      <c r="A128" s="21" t="s">
        <v>345</v>
      </c>
      <c r="B128" s="18" t="s">
        <v>346</v>
      </c>
      <c r="C128" s="2">
        <f t="shared" si="6"/>
        <v>43464</v>
      </c>
      <c r="D128" t="str">
        <f t="shared" si="3"/>
        <v>Child</v>
      </c>
      <c r="E128" s="24" t="str">
        <f t="shared" si="4"/>
        <v>Brendan.Cannon@gmail.com</v>
      </c>
      <c r="F128" t="s">
        <v>673</v>
      </c>
      <c r="G128" t="s">
        <v>913</v>
      </c>
    </row>
    <row r="129" spans="1:7">
      <c r="A129" s="21" t="s">
        <v>67</v>
      </c>
      <c r="B129" s="18" t="s">
        <v>347</v>
      </c>
      <c r="C129" s="2">
        <f t="shared" si="6"/>
        <v>43664</v>
      </c>
      <c r="D129" t="str">
        <f t="shared" si="3"/>
        <v>Child</v>
      </c>
      <c r="E129" s="24" t="str">
        <f t="shared" si="4"/>
        <v>Peter.Rutledge@gmail.com</v>
      </c>
      <c r="F129" t="s">
        <v>674</v>
      </c>
      <c r="G129" t="s">
        <v>914</v>
      </c>
    </row>
    <row r="130" spans="1:7">
      <c r="A130" s="21" t="s">
        <v>348</v>
      </c>
      <c r="B130" s="18" t="s">
        <v>349</v>
      </c>
      <c r="C130" s="2">
        <f>C2+104</f>
        <v>18368</v>
      </c>
      <c r="D130" t="str">
        <f t="shared" si="3"/>
        <v>Senior</v>
      </c>
      <c r="E130" s="24" t="str">
        <f t="shared" si="4"/>
        <v>Hadassah.Kirk@gmail.com</v>
      </c>
      <c r="F130" t="s">
        <v>675</v>
      </c>
      <c r="G130" t="s">
        <v>915</v>
      </c>
    </row>
    <row r="131" spans="1:7">
      <c r="A131" s="21" t="s">
        <v>350</v>
      </c>
      <c r="B131" s="18" t="s">
        <v>351</v>
      </c>
      <c r="C131" s="2">
        <f t="shared" ref="C131:C194" si="7">C3+104</f>
        <v>18568</v>
      </c>
      <c r="D131" t="str">
        <f t="shared" ref="D131:D194" si="8">IF(C131&lt;DATE(1955,1,1),"Senior",IF(C131&lt;DATE(1995,1,1),"Adult",IF(C131&lt;DATE(2002,1,1),"Young2",IF(C131&lt;DATE(2008,1,1),"Young1","Child"))))</f>
        <v>Senior</v>
      </c>
      <c r="E131" s="24" t="str">
        <f t="shared" ref="E131:E194" si="9">CONCATENATE(A131,".",B131,"@gmail.com")</f>
        <v>Zachery.Rollins@gmail.com</v>
      </c>
      <c r="F131" t="s">
        <v>676</v>
      </c>
      <c r="G131" t="s">
        <v>916</v>
      </c>
    </row>
    <row r="132" spans="1:7">
      <c r="A132" s="21" t="s">
        <v>352</v>
      </c>
      <c r="B132" s="18" t="s">
        <v>341</v>
      </c>
      <c r="C132" s="2">
        <f t="shared" si="7"/>
        <v>18768</v>
      </c>
      <c r="D132" t="str">
        <f t="shared" si="8"/>
        <v>Senior</v>
      </c>
      <c r="E132" s="24" t="str">
        <f t="shared" si="9"/>
        <v>Ann.Guy@gmail.com</v>
      </c>
      <c r="F132" t="s">
        <v>677</v>
      </c>
      <c r="G132" t="s">
        <v>917</v>
      </c>
    </row>
    <row r="133" spans="1:7">
      <c r="A133" s="21" t="s">
        <v>353</v>
      </c>
      <c r="B133" s="18" t="s">
        <v>354</v>
      </c>
      <c r="C133" s="2">
        <f t="shared" si="7"/>
        <v>18968</v>
      </c>
      <c r="D133" t="str">
        <f t="shared" si="8"/>
        <v>Senior</v>
      </c>
      <c r="E133" s="24" t="str">
        <f t="shared" si="9"/>
        <v>Shaine.Mcdonald@gmail.com</v>
      </c>
      <c r="F133" t="s">
        <v>678</v>
      </c>
      <c r="G133" t="s">
        <v>918</v>
      </c>
    </row>
    <row r="134" spans="1:7">
      <c r="A134" s="21" t="s">
        <v>355</v>
      </c>
      <c r="B134" s="18" t="s">
        <v>356</v>
      </c>
      <c r="C134" s="2">
        <f t="shared" si="7"/>
        <v>19168</v>
      </c>
      <c r="D134" t="str">
        <f t="shared" si="8"/>
        <v>Senior</v>
      </c>
      <c r="E134" s="24" t="str">
        <f t="shared" si="9"/>
        <v>Riley.Baxter@gmail.com</v>
      </c>
      <c r="F134" t="s">
        <v>679</v>
      </c>
      <c r="G134" t="s">
        <v>919</v>
      </c>
    </row>
    <row r="135" spans="1:7">
      <c r="A135" s="21" t="s">
        <v>357</v>
      </c>
      <c r="B135" s="18" t="s">
        <v>358</v>
      </c>
      <c r="C135" s="2">
        <f t="shared" si="7"/>
        <v>19368</v>
      </c>
      <c r="D135" t="str">
        <f t="shared" si="8"/>
        <v>Senior</v>
      </c>
      <c r="E135" s="24" t="str">
        <f t="shared" si="9"/>
        <v>Nicholas.Whitfield@gmail.com</v>
      </c>
      <c r="F135" t="s">
        <v>680</v>
      </c>
      <c r="G135" t="s">
        <v>920</v>
      </c>
    </row>
    <row r="136" spans="1:7">
      <c r="A136" s="21" t="s">
        <v>359</v>
      </c>
      <c r="B136" s="18" t="s">
        <v>360</v>
      </c>
      <c r="C136" s="2">
        <f t="shared" si="7"/>
        <v>19568</v>
      </c>
      <c r="D136" t="str">
        <f t="shared" si="8"/>
        <v>Senior</v>
      </c>
      <c r="E136" s="24" t="str">
        <f t="shared" si="9"/>
        <v>Jolie.Harrison@gmail.com</v>
      </c>
      <c r="F136" t="s">
        <v>681</v>
      </c>
      <c r="G136" t="s">
        <v>921</v>
      </c>
    </row>
    <row r="137" spans="1:7">
      <c r="A137" s="21" t="s">
        <v>343</v>
      </c>
      <c r="B137" s="18" t="s">
        <v>361</v>
      </c>
      <c r="C137" s="2">
        <f t="shared" si="7"/>
        <v>19768</v>
      </c>
      <c r="D137" t="str">
        <f t="shared" si="8"/>
        <v>Senior</v>
      </c>
      <c r="E137" s="24" t="str">
        <f t="shared" si="9"/>
        <v>Imani.Patel@gmail.com</v>
      </c>
      <c r="F137" t="s">
        <v>682</v>
      </c>
      <c r="G137" t="s">
        <v>922</v>
      </c>
    </row>
    <row r="138" spans="1:7">
      <c r="A138" s="21" t="s">
        <v>362</v>
      </c>
      <c r="B138" s="18" t="s">
        <v>363</v>
      </c>
      <c r="C138" s="2">
        <f t="shared" si="7"/>
        <v>19968</v>
      </c>
      <c r="D138" t="str">
        <f t="shared" si="8"/>
        <v>Senior</v>
      </c>
      <c r="E138" s="24" t="str">
        <f t="shared" si="9"/>
        <v>Orlando.Jarvis@gmail.com</v>
      </c>
      <c r="F138" t="s">
        <v>683</v>
      </c>
      <c r="G138" t="s">
        <v>923</v>
      </c>
    </row>
    <row r="139" spans="1:7">
      <c r="A139" s="21" t="s">
        <v>364</v>
      </c>
      <c r="B139" s="18" t="s">
        <v>365</v>
      </c>
      <c r="C139" s="2">
        <f t="shared" si="7"/>
        <v>20168</v>
      </c>
      <c r="D139" t="str">
        <f t="shared" si="8"/>
        <v>Adult</v>
      </c>
      <c r="E139" s="24" t="str">
        <f t="shared" si="9"/>
        <v>Dieter.Little@gmail.com</v>
      </c>
      <c r="F139" t="s">
        <v>684</v>
      </c>
      <c r="G139" t="s">
        <v>924</v>
      </c>
    </row>
    <row r="140" spans="1:7">
      <c r="A140" s="21" t="s">
        <v>366</v>
      </c>
      <c r="B140" s="18" t="s">
        <v>367</v>
      </c>
      <c r="C140" s="2">
        <f t="shared" si="7"/>
        <v>20368</v>
      </c>
      <c r="D140" t="str">
        <f t="shared" si="8"/>
        <v>Adult</v>
      </c>
      <c r="E140" s="24" t="str">
        <f t="shared" si="9"/>
        <v>Chaim.Glass@gmail.com</v>
      </c>
      <c r="F140" t="s">
        <v>685</v>
      </c>
      <c r="G140" t="s">
        <v>925</v>
      </c>
    </row>
    <row r="141" spans="1:7">
      <c r="A141" s="21" t="s">
        <v>368</v>
      </c>
      <c r="B141" s="18" t="s">
        <v>369</v>
      </c>
      <c r="C141" s="2">
        <f t="shared" si="7"/>
        <v>20568</v>
      </c>
      <c r="D141" t="str">
        <f t="shared" si="8"/>
        <v>Adult</v>
      </c>
      <c r="E141" s="24" t="str">
        <f t="shared" si="9"/>
        <v>Mari.Velez@gmail.com</v>
      </c>
      <c r="F141" t="s">
        <v>686</v>
      </c>
      <c r="G141" t="s">
        <v>926</v>
      </c>
    </row>
    <row r="142" spans="1:7">
      <c r="A142" s="21" t="s">
        <v>370</v>
      </c>
      <c r="B142" s="18" t="s">
        <v>371</v>
      </c>
      <c r="C142" s="2">
        <f t="shared" si="7"/>
        <v>20768</v>
      </c>
      <c r="D142" t="str">
        <f t="shared" si="8"/>
        <v>Adult</v>
      </c>
      <c r="E142" s="24" t="str">
        <f t="shared" si="9"/>
        <v>Hashim.Terry@gmail.com</v>
      </c>
      <c r="F142" t="s">
        <v>687</v>
      </c>
      <c r="G142" t="s">
        <v>927</v>
      </c>
    </row>
    <row r="143" spans="1:7">
      <c r="A143" s="21" t="s">
        <v>372</v>
      </c>
      <c r="B143" s="18" t="s">
        <v>373</v>
      </c>
      <c r="C143" s="2">
        <f t="shared" si="7"/>
        <v>20968</v>
      </c>
      <c r="D143" t="str">
        <f t="shared" si="8"/>
        <v>Adult</v>
      </c>
      <c r="E143" s="24" t="str">
        <f t="shared" si="9"/>
        <v>Moana.Graham@gmail.com</v>
      </c>
      <c r="F143" t="s">
        <v>688</v>
      </c>
      <c r="G143" t="s">
        <v>928</v>
      </c>
    </row>
    <row r="144" spans="1:7">
      <c r="A144" s="21" t="s">
        <v>374</v>
      </c>
      <c r="B144" s="18" t="s">
        <v>271</v>
      </c>
      <c r="C144" s="2">
        <f t="shared" si="7"/>
        <v>21168</v>
      </c>
      <c r="D144" t="str">
        <f t="shared" si="8"/>
        <v>Adult</v>
      </c>
      <c r="E144" s="24" t="str">
        <f t="shared" si="9"/>
        <v>Merritt.Wade@gmail.com</v>
      </c>
      <c r="F144" t="s">
        <v>689</v>
      </c>
      <c r="G144" t="s">
        <v>929</v>
      </c>
    </row>
    <row r="145" spans="1:7">
      <c r="A145" s="21" t="s">
        <v>375</v>
      </c>
      <c r="B145" s="18" t="s">
        <v>376</v>
      </c>
      <c r="C145" s="2">
        <f t="shared" si="7"/>
        <v>21368</v>
      </c>
      <c r="D145" t="str">
        <f t="shared" si="8"/>
        <v>Adult</v>
      </c>
      <c r="E145" s="24" t="str">
        <f t="shared" si="9"/>
        <v>Travis.Preston@gmail.com</v>
      </c>
      <c r="F145" t="s">
        <v>690</v>
      </c>
      <c r="G145" t="s">
        <v>930</v>
      </c>
    </row>
    <row r="146" spans="1:7">
      <c r="A146" s="21" t="s">
        <v>179</v>
      </c>
      <c r="B146" s="18" t="s">
        <v>377</v>
      </c>
      <c r="C146" s="2">
        <f t="shared" si="7"/>
        <v>21568</v>
      </c>
      <c r="D146" t="str">
        <f t="shared" si="8"/>
        <v>Adult</v>
      </c>
      <c r="E146" s="24" t="str">
        <f t="shared" si="9"/>
        <v>Rajah.Rice@gmail.com</v>
      </c>
      <c r="F146" t="s">
        <v>691</v>
      </c>
      <c r="G146" t="s">
        <v>931</v>
      </c>
    </row>
    <row r="147" spans="1:7">
      <c r="A147" s="21" t="s">
        <v>378</v>
      </c>
      <c r="B147" s="18" t="s">
        <v>308</v>
      </c>
      <c r="C147" s="2">
        <f t="shared" si="7"/>
        <v>21768</v>
      </c>
      <c r="D147" t="str">
        <f t="shared" si="8"/>
        <v>Adult</v>
      </c>
      <c r="E147" s="24" t="str">
        <f t="shared" si="9"/>
        <v>Penelope.Weber@gmail.com</v>
      </c>
      <c r="F147" t="s">
        <v>692</v>
      </c>
      <c r="G147" t="s">
        <v>932</v>
      </c>
    </row>
    <row r="148" spans="1:7">
      <c r="A148" s="21" t="s">
        <v>379</v>
      </c>
      <c r="B148" s="18" t="s">
        <v>380</v>
      </c>
      <c r="C148" s="2">
        <f t="shared" si="7"/>
        <v>21968</v>
      </c>
      <c r="D148" t="str">
        <f t="shared" si="8"/>
        <v>Adult</v>
      </c>
      <c r="E148" s="24" t="str">
        <f t="shared" si="9"/>
        <v>Bert.Chavez@gmail.com</v>
      </c>
      <c r="F148" t="s">
        <v>693</v>
      </c>
      <c r="G148" t="s">
        <v>933</v>
      </c>
    </row>
    <row r="149" spans="1:7">
      <c r="A149" s="21" t="s">
        <v>381</v>
      </c>
      <c r="B149" s="18" t="s">
        <v>382</v>
      </c>
      <c r="C149" s="2">
        <f t="shared" si="7"/>
        <v>22168</v>
      </c>
      <c r="D149" t="str">
        <f t="shared" si="8"/>
        <v>Adult</v>
      </c>
      <c r="E149" s="24" t="str">
        <f t="shared" si="9"/>
        <v>Silas.Contreras@gmail.com</v>
      </c>
      <c r="F149" t="s">
        <v>694</v>
      </c>
      <c r="G149" t="s">
        <v>934</v>
      </c>
    </row>
    <row r="150" spans="1:7">
      <c r="A150" s="21" t="s">
        <v>66</v>
      </c>
      <c r="B150" s="18" t="s">
        <v>383</v>
      </c>
      <c r="C150" s="2">
        <f t="shared" si="7"/>
        <v>22368</v>
      </c>
      <c r="D150" t="str">
        <f t="shared" si="8"/>
        <v>Adult</v>
      </c>
      <c r="E150" s="24" t="str">
        <f t="shared" si="9"/>
        <v>Richard.Wong@gmail.com</v>
      </c>
      <c r="F150" t="s">
        <v>695</v>
      </c>
      <c r="G150" t="s">
        <v>935</v>
      </c>
    </row>
    <row r="151" spans="1:7">
      <c r="A151" s="21" t="s">
        <v>384</v>
      </c>
      <c r="B151" s="18" t="s">
        <v>385</v>
      </c>
      <c r="C151" s="2">
        <f t="shared" si="7"/>
        <v>22568</v>
      </c>
      <c r="D151" t="str">
        <f t="shared" si="8"/>
        <v>Adult</v>
      </c>
      <c r="E151" s="24" t="str">
        <f t="shared" si="9"/>
        <v>Kalia.Elliott@gmail.com</v>
      </c>
      <c r="F151" t="s">
        <v>696</v>
      </c>
      <c r="G151" t="s">
        <v>936</v>
      </c>
    </row>
    <row r="152" spans="1:7">
      <c r="A152" s="21" t="s">
        <v>386</v>
      </c>
      <c r="B152" s="18" t="s">
        <v>333</v>
      </c>
      <c r="C152" s="2">
        <f t="shared" si="7"/>
        <v>22768</v>
      </c>
      <c r="D152" t="str">
        <f t="shared" si="8"/>
        <v>Adult</v>
      </c>
      <c r="E152" s="24" t="str">
        <f t="shared" si="9"/>
        <v>Zeph.Ramirez@gmail.com</v>
      </c>
      <c r="F152" t="s">
        <v>697</v>
      </c>
      <c r="G152" t="s">
        <v>937</v>
      </c>
    </row>
    <row r="153" spans="1:7">
      <c r="A153" s="21" t="s">
        <v>387</v>
      </c>
      <c r="B153" s="18" t="s">
        <v>388</v>
      </c>
      <c r="C153" s="2">
        <f t="shared" si="7"/>
        <v>22968</v>
      </c>
      <c r="D153" t="str">
        <f t="shared" si="8"/>
        <v>Adult</v>
      </c>
      <c r="E153" s="24" t="str">
        <f t="shared" si="9"/>
        <v>Venus.Henson@gmail.com</v>
      </c>
      <c r="F153" t="s">
        <v>698</v>
      </c>
      <c r="G153" t="s">
        <v>938</v>
      </c>
    </row>
    <row r="154" spans="1:7">
      <c r="A154" s="21" t="s">
        <v>389</v>
      </c>
      <c r="B154" s="18" t="s">
        <v>390</v>
      </c>
      <c r="C154" s="2">
        <f t="shared" si="7"/>
        <v>23168</v>
      </c>
      <c r="D154" t="str">
        <f t="shared" si="8"/>
        <v>Adult</v>
      </c>
      <c r="E154" s="24" t="str">
        <f t="shared" si="9"/>
        <v>Tatiana.Mullen@gmail.com</v>
      </c>
      <c r="F154" t="s">
        <v>699</v>
      </c>
      <c r="G154" t="s">
        <v>939</v>
      </c>
    </row>
    <row r="155" spans="1:7">
      <c r="A155" s="21" t="s">
        <v>391</v>
      </c>
      <c r="B155" s="18" t="s">
        <v>392</v>
      </c>
      <c r="C155" s="2">
        <f t="shared" si="7"/>
        <v>23368</v>
      </c>
      <c r="D155" t="str">
        <f t="shared" si="8"/>
        <v>Adult</v>
      </c>
      <c r="E155" s="24" t="str">
        <f t="shared" si="9"/>
        <v>Zane.Pate@gmail.com</v>
      </c>
      <c r="F155" t="s">
        <v>700</v>
      </c>
      <c r="G155" t="s">
        <v>940</v>
      </c>
    </row>
    <row r="156" spans="1:7">
      <c r="A156" s="21" t="s">
        <v>393</v>
      </c>
      <c r="B156" s="18" t="s">
        <v>394</v>
      </c>
      <c r="C156" s="2">
        <f t="shared" si="7"/>
        <v>23568</v>
      </c>
      <c r="D156" t="str">
        <f t="shared" si="8"/>
        <v>Adult</v>
      </c>
      <c r="E156" s="24" t="str">
        <f t="shared" si="9"/>
        <v>Xaviera.Ellis@gmail.com</v>
      </c>
      <c r="F156" t="s">
        <v>701</v>
      </c>
      <c r="G156" t="s">
        <v>941</v>
      </c>
    </row>
    <row r="157" spans="1:7">
      <c r="A157" s="21" t="s">
        <v>395</v>
      </c>
      <c r="B157" s="18" t="s">
        <v>303</v>
      </c>
      <c r="C157" s="2">
        <f t="shared" si="7"/>
        <v>23768</v>
      </c>
      <c r="D157" t="str">
        <f t="shared" si="8"/>
        <v>Adult</v>
      </c>
      <c r="E157" s="24" t="str">
        <f t="shared" si="9"/>
        <v>Fritz.Stone@gmail.com</v>
      </c>
      <c r="F157" t="s">
        <v>702</v>
      </c>
      <c r="G157" t="s">
        <v>942</v>
      </c>
    </row>
    <row r="158" spans="1:7">
      <c r="A158" s="21" t="s">
        <v>296</v>
      </c>
      <c r="B158" s="18" t="s">
        <v>396</v>
      </c>
      <c r="C158" s="2">
        <f t="shared" si="7"/>
        <v>23968</v>
      </c>
      <c r="D158" t="str">
        <f t="shared" si="8"/>
        <v>Adult</v>
      </c>
      <c r="E158" s="24" t="str">
        <f t="shared" si="9"/>
        <v>Griffith.Randall@gmail.com</v>
      </c>
      <c r="F158" t="s">
        <v>703</v>
      </c>
      <c r="G158" t="s">
        <v>943</v>
      </c>
    </row>
    <row r="159" spans="1:7">
      <c r="A159" s="21" t="s">
        <v>244</v>
      </c>
      <c r="B159" s="18" t="s">
        <v>397</v>
      </c>
      <c r="C159" s="2">
        <f t="shared" si="7"/>
        <v>24168</v>
      </c>
      <c r="D159" t="str">
        <f t="shared" si="8"/>
        <v>Adult</v>
      </c>
      <c r="E159" s="24" t="str">
        <f t="shared" si="9"/>
        <v>Sonya.Hampton@gmail.com</v>
      </c>
      <c r="F159" t="s">
        <v>704</v>
      </c>
      <c r="G159" t="s">
        <v>944</v>
      </c>
    </row>
    <row r="160" spans="1:7">
      <c r="A160" s="21" t="s">
        <v>398</v>
      </c>
      <c r="B160" s="18" t="s">
        <v>243</v>
      </c>
      <c r="C160" s="2">
        <f t="shared" si="7"/>
        <v>24368</v>
      </c>
      <c r="D160" t="str">
        <f t="shared" si="8"/>
        <v>Adult</v>
      </c>
      <c r="E160" s="24" t="str">
        <f t="shared" si="9"/>
        <v>Cruz.Caldwell@gmail.com</v>
      </c>
      <c r="F160" t="s">
        <v>705</v>
      </c>
      <c r="G160" t="s">
        <v>945</v>
      </c>
    </row>
    <row r="161" spans="1:7">
      <c r="A161" s="21" t="s">
        <v>150</v>
      </c>
      <c r="B161" s="18" t="s">
        <v>399</v>
      </c>
      <c r="C161" s="2">
        <f t="shared" si="7"/>
        <v>24568</v>
      </c>
      <c r="D161" t="str">
        <f t="shared" si="8"/>
        <v>Adult</v>
      </c>
      <c r="E161" s="24" t="str">
        <f t="shared" si="9"/>
        <v>Hayes.Hewitt@gmail.com</v>
      </c>
      <c r="F161" t="s">
        <v>706</v>
      </c>
      <c r="G161" t="s">
        <v>946</v>
      </c>
    </row>
    <row r="162" spans="1:7">
      <c r="A162" s="21" t="s">
        <v>400</v>
      </c>
      <c r="B162" s="18" t="s">
        <v>401</v>
      </c>
      <c r="C162" s="2">
        <f t="shared" si="7"/>
        <v>24768</v>
      </c>
      <c r="D162" t="str">
        <f t="shared" si="8"/>
        <v>Adult</v>
      </c>
      <c r="E162" s="24" t="str">
        <f t="shared" si="9"/>
        <v>Whilemina.Hess@gmail.com</v>
      </c>
      <c r="F162" t="s">
        <v>707</v>
      </c>
      <c r="G162" t="s">
        <v>947</v>
      </c>
    </row>
    <row r="163" spans="1:7">
      <c r="A163" s="21" t="s">
        <v>402</v>
      </c>
      <c r="B163" s="18" t="s">
        <v>403</v>
      </c>
      <c r="C163" s="2">
        <f t="shared" si="7"/>
        <v>24968</v>
      </c>
      <c r="D163" t="str">
        <f t="shared" si="8"/>
        <v>Adult</v>
      </c>
      <c r="E163" s="24" t="str">
        <f t="shared" si="9"/>
        <v>Kylan.Hood@gmail.com</v>
      </c>
      <c r="F163" t="s">
        <v>708</v>
      </c>
      <c r="G163" t="s">
        <v>948</v>
      </c>
    </row>
    <row r="164" spans="1:7">
      <c r="A164" s="21" t="s">
        <v>404</v>
      </c>
      <c r="B164" s="18" t="s">
        <v>405</v>
      </c>
      <c r="C164" s="2">
        <f t="shared" si="7"/>
        <v>25168</v>
      </c>
      <c r="D164" t="str">
        <f t="shared" si="8"/>
        <v>Adult</v>
      </c>
      <c r="E164" s="24" t="str">
        <f t="shared" si="9"/>
        <v>Shelby.Hoffman@gmail.com</v>
      </c>
      <c r="F164" t="s">
        <v>709</v>
      </c>
      <c r="G164" t="s">
        <v>949</v>
      </c>
    </row>
    <row r="165" spans="1:7">
      <c r="A165" s="21" t="s">
        <v>406</v>
      </c>
      <c r="B165" s="18" t="s">
        <v>407</v>
      </c>
      <c r="C165" s="2">
        <f t="shared" si="7"/>
        <v>25368</v>
      </c>
      <c r="D165" t="str">
        <f t="shared" si="8"/>
        <v>Adult</v>
      </c>
      <c r="E165" s="24" t="str">
        <f t="shared" si="9"/>
        <v>Gretchen.Gaines@gmail.com</v>
      </c>
      <c r="F165" t="s">
        <v>710</v>
      </c>
      <c r="G165" t="s">
        <v>950</v>
      </c>
    </row>
    <row r="166" spans="1:7">
      <c r="A166" s="21" t="s">
        <v>408</v>
      </c>
      <c r="B166" s="18" t="s">
        <v>409</v>
      </c>
      <c r="C166" s="2">
        <f t="shared" si="7"/>
        <v>25568</v>
      </c>
      <c r="D166" t="str">
        <f t="shared" si="8"/>
        <v>Adult</v>
      </c>
      <c r="E166" s="24" t="str">
        <f t="shared" si="9"/>
        <v>Amaya.Mercer@gmail.com</v>
      </c>
      <c r="F166" t="s">
        <v>711</v>
      </c>
      <c r="G166" t="s">
        <v>951</v>
      </c>
    </row>
    <row r="167" spans="1:7">
      <c r="A167" s="21" t="s">
        <v>410</v>
      </c>
      <c r="B167" s="18" t="s">
        <v>159</v>
      </c>
      <c r="C167" s="2">
        <f t="shared" si="7"/>
        <v>25768</v>
      </c>
      <c r="D167" t="str">
        <f t="shared" si="8"/>
        <v>Adult</v>
      </c>
      <c r="E167" s="24" t="str">
        <f t="shared" si="9"/>
        <v>Teegan.Whitehead@gmail.com</v>
      </c>
      <c r="F167" t="s">
        <v>712</v>
      </c>
      <c r="G167" t="s">
        <v>952</v>
      </c>
    </row>
    <row r="168" spans="1:7">
      <c r="A168" s="21" t="s">
        <v>411</v>
      </c>
      <c r="B168" s="18" t="s">
        <v>412</v>
      </c>
      <c r="C168" s="2">
        <f t="shared" si="7"/>
        <v>25968</v>
      </c>
      <c r="D168" t="str">
        <f t="shared" si="8"/>
        <v>Adult</v>
      </c>
      <c r="E168" s="24" t="str">
        <f t="shared" si="9"/>
        <v>Lester.Mayer@gmail.com</v>
      </c>
      <c r="F168" t="s">
        <v>713</v>
      </c>
      <c r="G168" t="s">
        <v>953</v>
      </c>
    </row>
    <row r="169" spans="1:7">
      <c r="A169" s="21" t="s">
        <v>413</v>
      </c>
      <c r="B169" s="18" t="s">
        <v>414</v>
      </c>
      <c r="C169" s="2">
        <f t="shared" si="7"/>
        <v>26168</v>
      </c>
      <c r="D169" t="str">
        <f t="shared" si="8"/>
        <v>Adult</v>
      </c>
      <c r="E169" s="24" t="str">
        <f t="shared" si="9"/>
        <v>Cairo.Britt@gmail.com</v>
      </c>
      <c r="F169" t="s">
        <v>714</v>
      </c>
      <c r="G169" t="s">
        <v>954</v>
      </c>
    </row>
    <row r="170" spans="1:7">
      <c r="A170" s="21" t="s">
        <v>415</v>
      </c>
      <c r="B170" s="18" t="s">
        <v>416</v>
      </c>
      <c r="C170" s="2">
        <f t="shared" si="7"/>
        <v>26368</v>
      </c>
      <c r="D170" t="str">
        <f t="shared" si="8"/>
        <v>Adult</v>
      </c>
      <c r="E170" s="24" t="str">
        <f t="shared" si="9"/>
        <v>Stewart.Lawson@gmail.com</v>
      </c>
      <c r="F170" t="s">
        <v>715</v>
      </c>
      <c r="G170" t="s">
        <v>955</v>
      </c>
    </row>
    <row r="171" spans="1:7">
      <c r="A171" s="21" t="s">
        <v>417</v>
      </c>
      <c r="B171" s="18" t="s">
        <v>418</v>
      </c>
      <c r="C171" s="2">
        <f t="shared" si="7"/>
        <v>26568</v>
      </c>
      <c r="D171" t="str">
        <f t="shared" si="8"/>
        <v>Adult</v>
      </c>
      <c r="E171" s="24" t="str">
        <f t="shared" si="9"/>
        <v>Dane.Livingston@gmail.com</v>
      </c>
      <c r="F171" t="s">
        <v>716</v>
      </c>
      <c r="G171" t="s">
        <v>956</v>
      </c>
    </row>
    <row r="172" spans="1:7">
      <c r="A172" s="21" t="s">
        <v>419</v>
      </c>
      <c r="B172" s="18" t="s">
        <v>420</v>
      </c>
      <c r="C172" s="2">
        <f t="shared" si="7"/>
        <v>26768</v>
      </c>
      <c r="D172" t="str">
        <f t="shared" si="8"/>
        <v>Adult</v>
      </c>
      <c r="E172" s="24" t="str">
        <f t="shared" si="9"/>
        <v>Wyatt.Sargent@gmail.com</v>
      </c>
      <c r="F172" t="s">
        <v>717</v>
      </c>
      <c r="G172" t="s">
        <v>957</v>
      </c>
    </row>
    <row r="173" spans="1:7">
      <c r="A173" s="21" t="s">
        <v>421</v>
      </c>
      <c r="B173" s="18" t="s">
        <v>422</v>
      </c>
      <c r="C173" s="2">
        <f t="shared" si="7"/>
        <v>26968</v>
      </c>
      <c r="D173" t="str">
        <f t="shared" si="8"/>
        <v>Adult</v>
      </c>
      <c r="E173" s="24" t="str">
        <f t="shared" si="9"/>
        <v>Wesley.Serrano@gmail.com</v>
      </c>
      <c r="F173" t="s">
        <v>718</v>
      </c>
      <c r="G173" t="s">
        <v>958</v>
      </c>
    </row>
    <row r="174" spans="1:7">
      <c r="A174" s="21" t="s">
        <v>423</v>
      </c>
      <c r="B174" s="18" t="s">
        <v>424</v>
      </c>
      <c r="C174" s="2">
        <f t="shared" si="7"/>
        <v>27168</v>
      </c>
      <c r="D174" t="str">
        <f t="shared" si="8"/>
        <v>Adult</v>
      </c>
      <c r="E174" s="24" t="str">
        <f t="shared" si="9"/>
        <v>Samson.Mcmahon@gmail.com</v>
      </c>
      <c r="F174" t="s">
        <v>719</v>
      </c>
      <c r="G174" t="s">
        <v>959</v>
      </c>
    </row>
    <row r="175" spans="1:7">
      <c r="A175" s="21" t="s">
        <v>425</v>
      </c>
      <c r="B175" s="18" t="s">
        <v>426</v>
      </c>
      <c r="C175" s="2">
        <f t="shared" si="7"/>
        <v>27368</v>
      </c>
      <c r="D175" t="str">
        <f t="shared" si="8"/>
        <v>Adult</v>
      </c>
      <c r="E175" s="24" t="str">
        <f t="shared" si="9"/>
        <v>Lucy.Knight@gmail.com</v>
      </c>
      <c r="F175" t="s">
        <v>720</v>
      </c>
      <c r="G175" t="s">
        <v>960</v>
      </c>
    </row>
    <row r="176" spans="1:7">
      <c r="A176" s="21" t="s">
        <v>427</v>
      </c>
      <c r="B176" s="18" t="s">
        <v>428</v>
      </c>
      <c r="C176" s="2">
        <f t="shared" si="7"/>
        <v>27568</v>
      </c>
      <c r="D176" t="str">
        <f t="shared" si="8"/>
        <v>Adult</v>
      </c>
      <c r="E176" s="24" t="str">
        <f t="shared" si="9"/>
        <v>Lee.Hendrix@gmail.com</v>
      </c>
      <c r="F176" t="s">
        <v>721</v>
      </c>
      <c r="G176" t="s">
        <v>961</v>
      </c>
    </row>
    <row r="177" spans="1:7">
      <c r="A177" s="21" t="s">
        <v>429</v>
      </c>
      <c r="B177" s="18" t="s">
        <v>430</v>
      </c>
      <c r="C177" s="2">
        <f t="shared" si="7"/>
        <v>27768</v>
      </c>
      <c r="D177" t="str">
        <f t="shared" si="8"/>
        <v>Adult</v>
      </c>
      <c r="E177" s="24" t="str">
        <f t="shared" si="9"/>
        <v>Lesley.Flores@gmail.com</v>
      </c>
      <c r="F177" t="s">
        <v>722</v>
      </c>
      <c r="G177" t="s">
        <v>962</v>
      </c>
    </row>
    <row r="178" spans="1:7">
      <c r="A178" s="21" t="s">
        <v>431</v>
      </c>
      <c r="B178" s="18" t="s">
        <v>432</v>
      </c>
      <c r="C178" s="2">
        <f t="shared" si="7"/>
        <v>27968</v>
      </c>
      <c r="D178" t="str">
        <f t="shared" si="8"/>
        <v>Adult</v>
      </c>
      <c r="E178" s="24" t="str">
        <f t="shared" si="9"/>
        <v>Cailin.Sykes@gmail.com</v>
      </c>
      <c r="F178" t="s">
        <v>723</v>
      </c>
      <c r="G178" t="s">
        <v>963</v>
      </c>
    </row>
    <row r="179" spans="1:7">
      <c r="A179" s="21" t="s">
        <v>349</v>
      </c>
      <c r="B179" s="18" t="s">
        <v>433</v>
      </c>
      <c r="C179" s="2">
        <f t="shared" si="7"/>
        <v>28168</v>
      </c>
      <c r="D179" t="str">
        <f t="shared" si="8"/>
        <v>Adult</v>
      </c>
      <c r="E179" s="24" t="str">
        <f t="shared" si="9"/>
        <v>Kirk.Shields@gmail.com</v>
      </c>
      <c r="F179" t="s">
        <v>724</v>
      </c>
      <c r="G179" t="s">
        <v>964</v>
      </c>
    </row>
    <row r="180" spans="1:7">
      <c r="A180" s="21" t="s">
        <v>434</v>
      </c>
      <c r="B180" s="18" t="s">
        <v>307</v>
      </c>
      <c r="C180" s="2">
        <f t="shared" si="7"/>
        <v>28368</v>
      </c>
      <c r="D180" t="str">
        <f t="shared" si="8"/>
        <v>Adult</v>
      </c>
      <c r="E180" s="24" t="str">
        <f t="shared" si="9"/>
        <v>Keely.Harding@gmail.com</v>
      </c>
      <c r="F180" t="s">
        <v>725</v>
      </c>
      <c r="G180" t="s">
        <v>965</v>
      </c>
    </row>
    <row r="181" spans="1:7">
      <c r="A181" s="21" t="s">
        <v>435</v>
      </c>
      <c r="B181" s="18" t="s">
        <v>436</v>
      </c>
      <c r="C181" s="2">
        <f t="shared" si="7"/>
        <v>28568</v>
      </c>
      <c r="D181" t="str">
        <f t="shared" si="8"/>
        <v>Adult</v>
      </c>
      <c r="E181" s="24" t="str">
        <f t="shared" si="9"/>
        <v>Callum.Leach@gmail.com</v>
      </c>
      <c r="F181" t="s">
        <v>726</v>
      </c>
      <c r="G181" t="s">
        <v>966</v>
      </c>
    </row>
    <row r="182" spans="1:7">
      <c r="A182" s="21" t="s">
        <v>195</v>
      </c>
      <c r="B182" s="18" t="s">
        <v>437</v>
      </c>
      <c r="C182" s="2">
        <f t="shared" si="7"/>
        <v>28768</v>
      </c>
      <c r="D182" t="str">
        <f t="shared" si="8"/>
        <v>Adult</v>
      </c>
      <c r="E182" s="24" t="str">
        <f t="shared" si="9"/>
        <v>Merrill.Hanson@gmail.com</v>
      </c>
      <c r="F182" t="s">
        <v>727</v>
      </c>
      <c r="G182" t="s">
        <v>967</v>
      </c>
    </row>
    <row r="183" spans="1:7">
      <c r="A183" s="21" t="s">
        <v>438</v>
      </c>
      <c r="B183" s="18" t="s">
        <v>439</v>
      </c>
      <c r="C183" s="2">
        <f t="shared" si="7"/>
        <v>28968</v>
      </c>
      <c r="D183" t="str">
        <f t="shared" si="8"/>
        <v>Adult</v>
      </c>
      <c r="E183" s="24" t="str">
        <f t="shared" si="9"/>
        <v>Zachary.Bruce@gmail.com</v>
      </c>
      <c r="F183" t="s">
        <v>728</v>
      </c>
      <c r="G183" t="s">
        <v>968</v>
      </c>
    </row>
    <row r="184" spans="1:7">
      <c r="A184" s="21" t="s">
        <v>440</v>
      </c>
      <c r="B184" s="18" t="s">
        <v>441</v>
      </c>
      <c r="C184" s="2">
        <f t="shared" si="7"/>
        <v>29168</v>
      </c>
      <c r="D184" t="str">
        <f t="shared" si="8"/>
        <v>Adult</v>
      </c>
      <c r="E184" s="24" t="str">
        <f t="shared" si="9"/>
        <v>Noelle.Fuentes@gmail.com</v>
      </c>
      <c r="F184" t="s">
        <v>729</v>
      </c>
      <c r="G184" t="s">
        <v>969</v>
      </c>
    </row>
    <row r="185" spans="1:7">
      <c r="A185" s="21" t="s">
        <v>442</v>
      </c>
      <c r="B185" s="18" t="s">
        <v>443</v>
      </c>
      <c r="C185" s="2">
        <f t="shared" si="7"/>
        <v>29368</v>
      </c>
      <c r="D185" t="str">
        <f t="shared" si="8"/>
        <v>Adult</v>
      </c>
      <c r="E185" s="24" t="str">
        <f t="shared" si="9"/>
        <v>Kay.Tillman@gmail.com</v>
      </c>
      <c r="F185" t="s">
        <v>730</v>
      </c>
      <c r="G185" t="s">
        <v>970</v>
      </c>
    </row>
    <row r="186" spans="1:7">
      <c r="A186" s="21" t="s">
        <v>444</v>
      </c>
      <c r="B186" s="18" t="s">
        <v>445</v>
      </c>
      <c r="C186" s="2">
        <f t="shared" si="7"/>
        <v>29568</v>
      </c>
      <c r="D186" t="str">
        <f t="shared" si="8"/>
        <v>Adult</v>
      </c>
      <c r="E186" s="24" t="str">
        <f t="shared" si="9"/>
        <v>Alisa.Calderon@gmail.com</v>
      </c>
      <c r="F186" t="s">
        <v>731</v>
      </c>
      <c r="G186" t="s">
        <v>971</v>
      </c>
    </row>
    <row r="187" spans="1:7">
      <c r="A187" s="21" t="s">
        <v>446</v>
      </c>
      <c r="B187" s="18" t="s">
        <v>414</v>
      </c>
      <c r="C187" s="2">
        <f t="shared" si="7"/>
        <v>29768</v>
      </c>
      <c r="D187" t="str">
        <f t="shared" si="8"/>
        <v>Adult</v>
      </c>
      <c r="E187" s="24" t="str">
        <f t="shared" si="9"/>
        <v>Otto.Britt@gmail.com</v>
      </c>
      <c r="F187" t="s">
        <v>732</v>
      </c>
      <c r="G187" t="s">
        <v>972</v>
      </c>
    </row>
    <row r="188" spans="1:7">
      <c r="A188" s="21" t="s">
        <v>398</v>
      </c>
      <c r="B188" s="18" t="s">
        <v>447</v>
      </c>
      <c r="C188" s="2">
        <f t="shared" si="7"/>
        <v>29968</v>
      </c>
      <c r="D188" t="str">
        <f t="shared" si="8"/>
        <v>Adult</v>
      </c>
      <c r="E188" s="24" t="str">
        <f t="shared" si="9"/>
        <v>Cruz.Stevens@gmail.com</v>
      </c>
      <c r="F188" t="s">
        <v>733</v>
      </c>
      <c r="G188" t="s">
        <v>973</v>
      </c>
    </row>
    <row r="189" spans="1:7">
      <c r="A189" s="21" t="s">
        <v>448</v>
      </c>
      <c r="B189" s="18" t="s">
        <v>449</v>
      </c>
      <c r="C189" s="2">
        <f t="shared" si="7"/>
        <v>30168</v>
      </c>
      <c r="D189" t="str">
        <f t="shared" si="8"/>
        <v>Adult</v>
      </c>
      <c r="E189" s="24" t="str">
        <f t="shared" si="9"/>
        <v>Armand.Hill@gmail.com</v>
      </c>
      <c r="F189" t="s">
        <v>734</v>
      </c>
      <c r="G189" t="s">
        <v>974</v>
      </c>
    </row>
    <row r="190" spans="1:7">
      <c r="A190" s="21" t="s">
        <v>450</v>
      </c>
      <c r="B190" s="18" t="s">
        <v>451</v>
      </c>
      <c r="C190" s="2">
        <f t="shared" si="7"/>
        <v>30368</v>
      </c>
      <c r="D190" t="str">
        <f t="shared" si="8"/>
        <v>Adult</v>
      </c>
      <c r="E190" s="24" t="str">
        <f t="shared" si="9"/>
        <v>Dominic.Hensley@gmail.com</v>
      </c>
      <c r="F190" t="s">
        <v>735</v>
      </c>
      <c r="G190" t="s">
        <v>975</v>
      </c>
    </row>
    <row r="191" spans="1:7">
      <c r="A191" s="21" t="s">
        <v>452</v>
      </c>
      <c r="B191" s="18" t="s">
        <v>453</v>
      </c>
      <c r="C191" s="2">
        <f t="shared" si="7"/>
        <v>30568</v>
      </c>
      <c r="D191" t="str">
        <f t="shared" si="8"/>
        <v>Adult</v>
      </c>
      <c r="E191" s="24" t="str">
        <f t="shared" si="9"/>
        <v>Wynne.Chandler@gmail.com</v>
      </c>
      <c r="F191" t="s">
        <v>736</v>
      </c>
      <c r="G191" t="s">
        <v>976</v>
      </c>
    </row>
    <row r="192" spans="1:7">
      <c r="A192" s="21" t="s">
        <v>454</v>
      </c>
      <c r="B192" s="18" t="s">
        <v>455</v>
      </c>
      <c r="C192" s="2">
        <f t="shared" si="7"/>
        <v>30768</v>
      </c>
      <c r="D192" t="str">
        <f t="shared" si="8"/>
        <v>Adult</v>
      </c>
      <c r="E192" s="24" t="str">
        <f t="shared" si="9"/>
        <v>Mira.Cohen@gmail.com</v>
      </c>
      <c r="F192" t="s">
        <v>737</v>
      </c>
      <c r="G192" t="s">
        <v>977</v>
      </c>
    </row>
    <row r="193" spans="1:7">
      <c r="A193" s="21" t="s">
        <v>456</v>
      </c>
      <c r="B193" s="18" t="s">
        <v>457</v>
      </c>
      <c r="C193" s="2">
        <f t="shared" si="7"/>
        <v>30968</v>
      </c>
      <c r="D193" t="str">
        <f t="shared" si="8"/>
        <v>Adult</v>
      </c>
      <c r="E193" s="24" t="str">
        <f t="shared" si="9"/>
        <v>Akeem.Wise@gmail.com</v>
      </c>
      <c r="F193" t="s">
        <v>738</v>
      </c>
      <c r="G193" t="s">
        <v>978</v>
      </c>
    </row>
    <row r="194" spans="1:7">
      <c r="A194" s="21" t="s">
        <v>458</v>
      </c>
      <c r="B194" s="18" t="s">
        <v>459</v>
      </c>
      <c r="C194" s="2">
        <f t="shared" si="7"/>
        <v>31168</v>
      </c>
      <c r="D194" t="str">
        <f t="shared" si="8"/>
        <v>Adult</v>
      </c>
      <c r="E194" s="24" t="str">
        <f t="shared" si="9"/>
        <v>Edward.Frederick@gmail.com</v>
      </c>
      <c r="F194" t="s">
        <v>739</v>
      </c>
      <c r="G194" t="s">
        <v>979</v>
      </c>
    </row>
    <row r="195" spans="1:7">
      <c r="A195" s="21" t="s">
        <v>460</v>
      </c>
      <c r="B195" s="18" t="s">
        <v>461</v>
      </c>
      <c r="C195" s="2">
        <f t="shared" ref="C195:C201" si="10">C67+104</f>
        <v>31368</v>
      </c>
      <c r="D195" t="str">
        <f t="shared" ref="D195:D201" si="11">IF(C195&lt;DATE(1955,1,1),"Senior",IF(C195&lt;DATE(1995,1,1),"Adult",IF(C195&lt;DATE(2002,1,1),"Young2",IF(C195&lt;DATE(2008,1,1),"Young1","Child"))))</f>
        <v>Adult</v>
      </c>
      <c r="E195" s="24" t="str">
        <f t="shared" ref="E195:E201" si="12">CONCATENATE(A195,".",B195,"@gmail.com")</f>
        <v>Isaiah.Parsons@gmail.com</v>
      </c>
      <c r="F195" t="s">
        <v>740</v>
      </c>
      <c r="G195" t="s">
        <v>980</v>
      </c>
    </row>
    <row r="196" spans="1:7">
      <c r="A196" s="21" t="s">
        <v>462</v>
      </c>
      <c r="B196" s="18" t="s">
        <v>463</v>
      </c>
      <c r="C196" s="2">
        <f t="shared" si="10"/>
        <v>31568</v>
      </c>
      <c r="D196" t="str">
        <f t="shared" si="11"/>
        <v>Adult</v>
      </c>
      <c r="E196" s="24" t="str">
        <f t="shared" si="12"/>
        <v>Dante.Battle@gmail.com</v>
      </c>
      <c r="F196" t="s">
        <v>741</v>
      </c>
      <c r="G196" t="s">
        <v>981</v>
      </c>
    </row>
    <row r="197" spans="1:7">
      <c r="A197" s="21" t="s">
        <v>464</v>
      </c>
      <c r="B197" s="18" t="s">
        <v>117</v>
      </c>
      <c r="C197" s="2">
        <f t="shared" si="10"/>
        <v>31768</v>
      </c>
      <c r="D197" t="str">
        <f t="shared" si="11"/>
        <v>Adult</v>
      </c>
      <c r="E197" s="24" t="str">
        <f t="shared" si="12"/>
        <v>Jonas.Nixon@gmail.com</v>
      </c>
      <c r="F197" t="s">
        <v>742</v>
      </c>
      <c r="G197" t="s">
        <v>982</v>
      </c>
    </row>
    <row r="198" spans="1:7">
      <c r="A198" s="21" t="s">
        <v>465</v>
      </c>
      <c r="B198" s="18" t="s">
        <v>466</v>
      </c>
      <c r="C198" s="2">
        <f t="shared" si="10"/>
        <v>31968</v>
      </c>
      <c r="D198" t="str">
        <f t="shared" si="11"/>
        <v>Adult</v>
      </c>
      <c r="E198" s="24" t="str">
        <f t="shared" si="12"/>
        <v>Mark.Alvarez@gmail.com</v>
      </c>
      <c r="F198" t="s">
        <v>743</v>
      </c>
      <c r="G198" t="s">
        <v>983</v>
      </c>
    </row>
    <row r="199" spans="1:7">
      <c r="A199" s="21" t="s">
        <v>467</v>
      </c>
      <c r="B199" s="18" t="s">
        <v>468</v>
      </c>
      <c r="C199" s="2">
        <f t="shared" si="10"/>
        <v>32168</v>
      </c>
      <c r="D199" t="str">
        <f t="shared" si="11"/>
        <v>Adult</v>
      </c>
      <c r="E199" s="24" t="str">
        <f t="shared" si="12"/>
        <v>Rudyard.Allen@gmail.com</v>
      </c>
      <c r="F199" t="s">
        <v>744</v>
      </c>
      <c r="G199" t="s">
        <v>984</v>
      </c>
    </row>
    <row r="200" spans="1:7">
      <c r="A200" s="21" t="s">
        <v>469</v>
      </c>
      <c r="B200" s="18" t="s">
        <v>470</v>
      </c>
      <c r="C200" s="2">
        <f t="shared" si="10"/>
        <v>32368</v>
      </c>
      <c r="D200" t="str">
        <f t="shared" si="11"/>
        <v>Adult</v>
      </c>
      <c r="E200" s="24" t="str">
        <f t="shared" si="12"/>
        <v>Roanna.Callahan@gmail.com</v>
      </c>
      <c r="F200" t="s">
        <v>745</v>
      </c>
      <c r="G200" t="s">
        <v>985</v>
      </c>
    </row>
    <row r="201" spans="1:7" ht="15.75" thickBot="1">
      <c r="A201" s="22" t="s">
        <v>471</v>
      </c>
      <c r="B201" s="23" t="s">
        <v>472</v>
      </c>
      <c r="C201" s="2">
        <f t="shared" si="10"/>
        <v>32568</v>
      </c>
      <c r="D201" t="str">
        <f t="shared" si="11"/>
        <v>Adult</v>
      </c>
      <c r="E201" s="24" t="str">
        <f t="shared" si="12"/>
        <v>Iona.Hobbs@gmail.com</v>
      </c>
      <c r="F201" t="s">
        <v>746</v>
      </c>
      <c r="G201" t="s">
        <v>986</v>
      </c>
    </row>
    <row r="202" spans="1:7" ht="15.75" thickTop="1"/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/>
  <dimension ref="A1:H202"/>
  <sheetViews>
    <sheetView zoomScaleNormal="100" workbookViewId="0">
      <selection activeCell="B14" sqref="B14"/>
    </sheetView>
  </sheetViews>
  <sheetFormatPr baseColWidth="10" defaultColWidth="11.42578125" defaultRowHeight="15"/>
  <cols>
    <col min="1" max="2" width="15.140625" customWidth="1"/>
  </cols>
  <sheetData>
    <row r="1" spans="1:8" ht="15.75" thickBot="1">
      <c r="A1" s="9" t="s">
        <v>92</v>
      </c>
      <c r="B1" s="9" t="s">
        <v>93</v>
      </c>
      <c r="C1" s="9" t="s">
        <v>96</v>
      </c>
      <c r="D1" s="9" t="s">
        <v>88</v>
      </c>
      <c r="E1" s="9"/>
      <c r="H1" t="s">
        <v>94</v>
      </c>
    </row>
    <row r="2" spans="1:8" ht="15.75" thickTop="1">
      <c r="A2" s="10">
        <v>1</v>
      </c>
      <c r="B2" s="10" t="s">
        <v>1208</v>
      </c>
      <c r="C2" s="19" t="s">
        <v>208</v>
      </c>
      <c r="D2" s="18" t="s">
        <v>307</v>
      </c>
      <c r="E2" s="10"/>
      <c r="H2" t="s">
        <v>95</v>
      </c>
    </row>
    <row r="3" spans="1:8">
      <c r="A3" s="10">
        <f>A2+78</f>
        <v>79</v>
      </c>
      <c r="B3" s="10"/>
      <c r="C3" s="21" t="s">
        <v>301</v>
      </c>
      <c r="D3" s="18" t="s">
        <v>436</v>
      </c>
      <c r="E3" s="10"/>
    </row>
    <row r="4" spans="1:8">
      <c r="A4" s="10">
        <f t="shared" ref="A4:A67" si="0">A3+78</f>
        <v>157</v>
      </c>
      <c r="B4" s="10"/>
      <c r="C4" s="21" t="s">
        <v>303</v>
      </c>
      <c r="D4" s="18" t="s">
        <v>437</v>
      </c>
      <c r="E4" s="10"/>
    </row>
    <row r="5" spans="1:8">
      <c r="A5" s="10">
        <f t="shared" si="0"/>
        <v>235</v>
      </c>
      <c r="B5" s="10"/>
      <c r="C5" s="21" t="s">
        <v>305</v>
      </c>
      <c r="D5" s="18" t="s">
        <v>439</v>
      </c>
      <c r="E5" s="10"/>
    </row>
    <row r="6" spans="1:8">
      <c r="A6" s="10">
        <f t="shared" si="0"/>
        <v>313</v>
      </c>
      <c r="B6" s="10"/>
      <c r="C6" s="21" t="s">
        <v>307</v>
      </c>
      <c r="D6" s="18" t="s">
        <v>441</v>
      </c>
      <c r="E6" s="10"/>
    </row>
    <row r="7" spans="1:8">
      <c r="A7" s="10">
        <f t="shared" si="0"/>
        <v>391</v>
      </c>
      <c r="B7" s="10"/>
      <c r="C7" s="21" t="s">
        <v>309</v>
      </c>
      <c r="D7" s="18" t="s">
        <v>443</v>
      </c>
      <c r="E7" s="10"/>
    </row>
    <row r="8" spans="1:8">
      <c r="A8" s="10">
        <f t="shared" si="0"/>
        <v>469</v>
      </c>
      <c r="B8" s="10"/>
      <c r="C8" s="21" t="s">
        <v>311</v>
      </c>
      <c r="D8" s="18" t="s">
        <v>445</v>
      </c>
      <c r="E8" s="10"/>
    </row>
    <row r="9" spans="1:8">
      <c r="A9" s="10">
        <f t="shared" si="0"/>
        <v>547</v>
      </c>
      <c r="B9" s="10"/>
      <c r="C9" s="21" t="s">
        <v>313</v>
      </c>
      <c r="D9" s="18" t="s">
        <v>414</v>
      </c>
      <c r="E9" s="10"/>
    </row>
    <row r="10" spans="1:8">
      <c r="A10" s="10">
        <f t="shared" si="0"/>
        <v>625</v>
      </c>
      <c r="B10" s="10"/>
      <c r="C10" s="21" t="s">
        <v>315</v>
      </c>
      <c r="D10" s="18" t="s">
        <v>447</v>
      </c>
      <c r="E10" s="10"/>
    </row>
    <row r="11" spans="1:8">
      <c r="A11" s="10">
        <f t="shared" si="0"/>
        <v>703</v>
      </c>
      <c r="B11" s="10"/>
      <c r="C11" s="21" t="s">
        <v>317</v>
      </c>
      <c r="D11" s="18" t="s">
        <v>449</v>
      </c>
      <c r="E11" s="10"/>
    </row>
    <row r="12" spans="1:8">
      <c r="A12" s="10">
        <f t="shared" si="0"/>
        <v>781</v>
      </c>
      <c r="B12" s="10"/>
      <c r="C12" s="21" t="s">
        <v>319</v>
      </c>
      <c r="D12" s="18" t="s">
        <v>451</v>
      </c>
      <c r="E12" s="10"/>
    </row>
    <row r="13" spans="1:8">
      <c r="A13" s="10">
        <f t="shared" si="0"/>
        <v>859</v>
      </c>
      <c r="B13" s="10"/>
      <c r="C13" s="21" t="s">
        <v>321</v>
      </c>
      <c r="D13" s="18" t="s">
        <v>453</v>
      </c>
      <c r="E13" s="10"/>
    </row>
    <row r="14" spans="1:8">
      <c r="A14" s="10">
        <f t="shared" si="0"/>
        <v>937</v>
      </c>
      <c r="B14" s="10"/>
      <c r="C14" s="21" t="s">
        <v>323</v>
      </c>
      <c r="D14" s="18" t="s">
        <v>455</v>
      </c>
      <c r="E14" s="10"/>
    </row>
    <row r="15" spans="1:8">
      <c r="A15" s="10">
        <f t="shared" si="0"/>
        <v>1015</v>
      </c>
      <c r="B15" s="10"/>
      <c r="C15" s="21" t="s">
        <v>324</v>
      </c>
      <c r="D15" s="18" t="s">
        <v>457</v>
      </c>
      <c r="E15" s="10"/>
    </row>
    <row r="16" spans="1:8">
      <c r="A16" s="10">
        <f t="shared" si="0"/>
        <v>1093</v>
      </c>
      <c r="B16" s="10"/>
      <c r="C16" s="21" t="s">
        <v>326</v>
      </c>
      <c r="D16" s="18" t="s">
        <v>459</v>
      </c>
      <c r="E16" s="10"/>
    </row>
    <row r="17" spans="1:5">
      <c r="A17" s="10">
        <f t="shared" si="0"/>
        <v>1171</v>
      </c>
      <c r="B17" s="10"/>
      <c r="C17" s="21" t="s">
        <v>327</v>
      </c>
      <c r="D17" s="18" t="s">
        <v>461</v>
      </c>
      <c r="E17" s="10"/>
    </row>
    <row r="18" spans="1:5">
      <c r="A18" s="10">
        <f t="shared" si="0"/>
        <v>1249</v>
      </c>
      <c r="B18" s="10"/>
      <c r="C18" s="21" t="s">
        <v>171</v>
      </c>
      <c r="D18" s="18" t="s">
        <v>463</v>
      </c>
      <c r="E18" s="10"/>
    </row>
    <row r="19" spans="1:5">
      <c r="A19" s="10">
        <f t="shared" si="0"/>
        <v>1327</v>
      </c>
      <c r="B19" s="10"/>
      <c r="C19" s="21" t="s">
        <v>330</v>
      </c>
      <c r="D19" s="18" t="s">
        <v>117</v>
      </c>
      <c r="E19" s="10"/>
    </row>
    <row r="20" spans="1:5">
      <c r="A20" s="10">
        <f t="shared" si="0"/>
        <v>1405</v>
      </c>
      <c r="B20" s="10"/>
      <c r="C20" s="21" t="s">
        <v>332</v>
      </c>
      <c r="D20" s="18" t="s">
        <v>466</v>
      </c>
      <c r="E20" s="10"/>
    </row>
    <row r="21" spans="1:5">
      <c r="A21" s="10">
        <f t="shared" si="0"/>
        <v>1483</v>
      </c>
      <c r="B21" s="10"/>
      <c r="C21" s="21" t="s">
        <v>334</v>
      </c>
      <c r="D21" s="18" t="s">
        <v>468</v>
      </c>
      <c r="E21" s="10"/>
    </row>
    <row r="22" spans="1:5">
      <c r="A22" s="10">
        <f t="shared" si="0"/>
        <v>1561</v>
      </c>
      <c r="B22" s="10"/>
      <c r="C22" s="21" t="s">
        <v>336</v>
      </c>
      <c r="D22" s="18" t="s">
        <v>470</v>
      </c>
      <c r="E22" s="10"/>
    </row>
    <row r="23" spans="1:5" ht="15.75" thickBot="1">
      <c r="A23" s="10">
        <f t="shared" si="0"/>
        <v>1639</v>
      </c>
      <c r="B23" s="10"/>
      <c r="C23" s="21" t="s">
        <v>337</v>
      </c>
      <c r="D23" s="23" t="s">
        <v>472</v>
      </c>
      <c r="E23" s="10"/>
    </row>
    <row r="24" spans="1:5" ht="15.75" thickTop="1">
      <c r="A24" s="10">
        <f t="shared" si="0"/>
        <v>1717</v>
      </c>
      <c r="B24" s="10"/>
      <c r="C24" s="21" t="s">
        <v>298</v>
      </c>
      <c r="D24" s="17" t="s">
        <v>109</v>
      </c>
      <c r="E24" s="10"/>
    </row>
    <row r="25" spans="1:5">
      <c r="A25" s="10">
        <f t="shared" si="0"/>
        <v>1795</v>
      </c>
      <c r="B25" s="10"/>
      <c r="C25" s="21" t="s">
        <v>340</v>
      </c>
      <c r="D25" s="17" t="s">
        <v>111</v>
      </c>
      <c r="E25" s="10"/>
    </row>
    <row r="26" spans="1:5">
      <c r="A26" s="10">
        <f t="shared" si="0"/>
        <v>1873</v>
      </c>
      <c r="B26" s="10"/>
      <c r="C26" s="21" t="s">
        <v>342</v>
      </c>
      <c r="D26" s="17" t="s">
        <v>113</v>
      </c>
      <c r="E26" s="10"/>
    </row>
    <row r="27" spans="1:5">
      <c r="A27" s="10">
        <f t="shared" si="0"/>
        <v>1951</v>
      </c>
      <c r="B27" s="10"/>
      <c r="C27" s="21" t="s">
        <v>343</v>
      </c>
      <c r="D27" s="17" t="s">
        <v>115</v>
      </c>
      <c r="E27" s="10"/>
    </row>
    <row r="28" spans="1:5">
      <c r="A28" s="10">
        <f t="shared" si="0"/>
        <v>2029</v>
      </c>
      <c r="B28" s="10"/>
      <c r="C28" s="21" t="s">
        <v>345</v>
      </c>
      <c r="D28" s="17" t="s">
        <v>117</v>
      </c>
      <c r="E28" s="10"/>
    </row>
    <row r="29" spans="1:5">
      <c r="A29" s="10">
        <f t="shared" si="0"/>
        <v>2107</v>
      </c>
      <c r="B29" s="10"/>
      <c r="C29" s="21" t="s">
        <v>67</v>
      </c>
      <c r="D29" s="17" t="s">
        <v>119</v>
      </c>
      <c r="E29" s="10"/>
    </row>
    <row r="30" spans="1:5">
      <c r="A30" s="10">
        <f t="shared" si="0"/>
        <v>2185</v>
      </c>
      <c r="B30" s="10"/>
      <c r="C30" s="21" t="s">
        <v>348</v>
      </c>
      <c r="D30" s="17" t="s">
        <v>121</v>
      </c>
    </row>
    <row r="31" spans="1:5">
      <c r="A31" s="10">
        <f t="shared" si="0"/>
        <v>2263</v>
      </c>
      <c r="B31" s="10"/>
      <c r="C31" s="21" t="s">
        <v>350</v>
      </c>
      <c r="D31" s="17" t="s">
        <v>123</v>
      </c>
    </row>
    <row r="32" spans="1:5">
      <c r="A32" s="10">
        <f t="shared" si="0"/>
        <v>2341</v>
      </c>
      <c r="C32" s="21" t="s">
        <v>352</v>
      </c>
      <c r="D32" s="17" t="s">
        <v>125</v>
      </c>
    </row>
    <row r="33" spans="1:4">
      <c r="A33" s="10">
        <f t="shared" si="0"/>
        <v>2419</v>
      </c>
      <c r="C33" s="21" t="s">
        <v>353</v>
      </c>
      <c r="D33" s="17" t="s">
        <v>127</v>
      </c>
    </row>
    <row r="34" spans="1:4">
      <c r="A34" s="10">
        <f t="shared" si="0"/>
        <v>2497</v>
      </c>
      <c r="C34" s="21" t="s">
        <v>355</v>
      </c>
      <c r="D34" s="17" t="s">
        <v>129</v>
      </c>
    </row>
    <row r="35" spans="1:4">
      <c r="A35" s="10">
        <f t="shared" si="0"/>
        <v>2575</v>
      </c>
      <c r="C35" s="21" t="s">
        <v>357</v>
      </c>
      <c r="D35" s="17" t="s">
        <v>131</v>
      </c>
    </row>
    <row r="36" spans="1:4">
      <c r="A36" s="10">
        <f t="shared" si="0"/>
        <v>2653</v>
      </c>
      <c r="C36" s="21" t="s">
        <v>359</v>
      </c>
      <c r="D36" s="17" t="s">
        <v>133</v>
      </c>
    </row>
    <row r="37" spans="1:4">
      <c r="A37" s="10">
        <f t="shared" si="0"/>
        <v>2731</v>
      </c>
      <c r="C37" s="21" t="s">
        <v>343</v>
      </c>
      <c r="D37" s="17" t="s">
        <v>135</v>
      </c>
    </row>
    <row r="38" spans="1:4">
      <c r="A38" s="10">
        <f t="shared" si="0"/>
        <v>2809</v>
      </c>
      <c r="C38" s="21" t="s">
        <v>362</v>
      </c>
      <c r="D38" s="17" t="s">
        <v>137</v>
      </c>
    </row>
    <row r="39" spans="1:4">
      <c r="A39" s="10">
        <f t="shared" si="0"/>
        <v>2887</v>
      </c>
      <c r="C39" s="21" t="s">
        <v>364</v>
      </c>
      <c r="D39" s="17" t="s">
        <v>139</v>
      </c>
    </row>
    <row r="40" spans="1:4">
      <c r="A40" s="10">
        <f t="shared" si="0"/>
        <v>2965</v>
      </c>
      <c r="C40" s="21" t="s">
        <v>366</v>
      </c>
      <c r="D40" s="17" t="s">
        <v>141</v>
      </c>
    </row>
    <row r="41" spans="1:4">
      <c r="A41" s="10">
        <f t="shared" si="0"/>
        <v>3043</v>
      </c>
      <c r="C41" s="21" t="s">
        <v>368</v>
      </c>
      <c r="D41" s="17" t="s">
        <v>143</v>
      </c>
    </row>
    <row r="42" spans="1:4">
      <c r="A42" s="10">
        <f t="shared" si="0"/>
        <v>3121</v>
      </c>
      <c r="C42" s="21" t="s">
        <v>370</v>
      </c>
      <c r="D42" s="17" t="s">
        <v>145</v>
      </c>
    </row>
    <row r="43" spans="1:4">
      <c r="A43" s="10">
        <f t="shared" si="0"/>
        <v>3199</v>
      </c>
      <c r="C43" s="21" t="s">
        <v>372</v>
      </c>
      <c r="D43" s="17" t="s">
        <v>147</v>
      </c>
    </row>
    <row r="44" spans="1:4">
      <c r="A44" s="10">
        <f t="shared" si="0"/>
        <v>3277</v>
      </c>
      <c r="C44" s="21" t="s">
        <v>374</v>
      </c>
      <c r="D44" s="17" t="s">
        <v>149</v>
      </c>
    </row>
    <row r="45" spans="1:4">
      <c r="A45" s="10">
        <f t="shared" si="0"/>
        <v>3355</v>
      </c>
      <c r="C45" s="21" t="s">
        <v>375</v>
      </c>
      <c r="D45" s="17" t="s">
        <v>151</v>
      </c>
    </row>
    <row r="46" spans="1:4">
      <c r="A46" s="10">
        <f t="shared" si="0"/>
        <v>3433</v>
      </c>
      <c r="C46" s="21" t="s">
        <v>179</v>
      </c>
      <c r="D46" s="17" t="s">
        <v>153</v>
      </c>
    </row>
    <row r="47" spans="1:4">
      <c r="A47" s="10">
        <f t="shared" si="0"/>
        <v>3511</v>
      </c>
      <c r="C47" s="21" t="s">
        <v>378</v>
      </c>
      <c r="D47" s="17" t="s">
        <v>155</v>
      </c>
    </row>
    <row r="48" spans="1:4">
      <c r="A48" s="10">
        <f t="shared" si="0"/>
        <v>3589</v>
      </c>
      <c r="C48" s="21" t="s">
        <v>379</v>
      </c>
      <c r="D48" s="17" t="s">
        <v>157</v>
      </c>
    </row>
    <row r="49" spans="1:4">
      <c r="A49" s="10">
        <f t="shared" si="0"/>
        <v>3667</v>
      </c>
      <c r="C49" s="21" t="s">
        <v>381</v>
      </c>
      <c r="D49" s="17" t="s">
        <v>159</v>
      </c>
    </row>
    <row r="50" spans="1:4">
      <c r="A50" s="10">
        <f t="shared" si="0"/>
        <v>3745</v>
      </c>
      <c r="C50" s="21" t="s">
        <v>66</v>
      </c>
      <c r="D50" s="17" t="s">
        <v>161</v>
      </c>
    </row>
    <row r="51" spans="1:4">
      <c r="A51" s="10">
        <f t="shared" si="0"/>
        <v>3823</v>
      </c>
      <c r="C51" s="21" t="s">
        <v>384</v>
      </c>
      <c r="D51" s="17" t="s">
        <v>162</v>
      </c>
    </row>
    <row r="52" spans="1:4">
      <c r="A52" s="10">
        <f t="shared" si="0"/>
        <v>3901</v>
      </c>
      <c r="C52" s="21" t="s">
        <v>386</v>
      </c>
      <c r="D52" s="17" t="s">
        <v>164</v>
      </c>
    </row>
    <row r="53" spans="1:4">
      <c r="A53" s="10">
        <f t="shared" si="0"/>
        <v>3979</v>
      </c>
      <c r="C53" s="21" t="s">
        <v>387</v>
      </c>
      <c r="D53" s="17" t="s">
        <v>166</v>
      </c>
    </row>
    <row r="54" spans="1:4">
      <c r="A54" s="10">
        <f t="shared" si="0"/>
        <v>4057</v>
      </c>
      <c r="C54" s="21" t="s">
        <v>389</v>
      </c>
      <c r="D54" s="17" t="s">
        <v>168</v>
      </c>
    </row>
    <row r="55" spans="1:4">
      <c r="A55" s="10">
        <f t="shared" si="0"/>
        <v>4135</v>
      </c>
      <c r="C55" s="21" t="s">
        <v>391</v>
      </c>
      <c r="D55" s="17" t="s">
        <v>170</v>
      </c>
    </row>
    <row r="56" spans="1:4">
      <c r="A56" s="10">
        <f t="shared" si="0"/>
        <v>4213</v>
      </c>
      <c r="C56" s="21" t="s">
        <v>393</v>
      </c>
      <c r="D56" s="17" t="s">
        <v>172</v>
      </c>
    </row>
    <row r="57" spans="1:4">
      <c r="A57" s="10">
        <f t="shared" si="0"/>
        <v>4291</v>
      </c>
      <c r="C57" s="21" t="s">
        <v>395</v>
      </c>
      <c r="D57" s="17" t="s">
        <v>174</v>
      </c>
    </row>
    <row r="58" spans="1:4">
      <c r="A58" s="10">
        <f t="shared" si="0"/>
        <v>4369</v>
      </c>
      <c r="C58" s="21" t="s">
        <v>296</v>
      </c>
      <c r="D58" s="17" t="s">
        <v>176</v>
      </c>
    </row>
    <row r="59" spans="1:4">
      <c r="A59" s="10">
        <f t="shared" si="0"/>
        <v>4447</v>
      </c>
      <c r="C59" s="21" t="s">
        <v>244</v>
      </c>
      <c r="D59" s="17" t="s">
        <v>178</v>
      </c>
    </row>
    <row r="60" spans="1:4">
      <c r="A60" s="10">
        <f t="shared" si="0"/>
        <v>4525</v>
      </c>
      <c r="C60" s="21" t="s">
        <v>398</v>
      </c>
      <c r="D60" s="17" t="s">
        <v>180</v>
      </c>
    </row>
    <row r="61" spans="1:4">
      <c r="A61" s="10">
        <f t="shared" si="0"/>
        <v>4603</v>
      </c>
      <c r="C61" s="21" t="s">
        <v>150</v>
      </c>
      <c r="D61" s="17" t="s">
        <v>182</v>
      </c>
    </row>
    <row r="62" spans="1:4">
      <c r="A62" s="10">
        <f t="shared" si="0"/>
        <v>4681</v>
      </c>
      <c r="C62" s="21" t="s">
        <v>400</v>
      </c>
      <c r="D62" s="17" t="s">
        <v>184</v>
      </c>
    </row>
    <row r="63" spans="1:4">
      <c r="A63" s="10">
        <f t="shared" si="0"/>
        <v>4759</v>
      </c>
      <c r="C63" s="21" t="s">
        <v>402</v>
      </c>
      <c r="D63" s="17" t="s">
        <v>186</v>
      </c>
    </row>
    <row r="64" spans="1:4">
      <c r="A64" s="10">
        <f t="shared" si="0"/>
        <v>4837</v>
      </c>
      <c r="C64" s="21" t="s">
        <v>404</v>
      </c>
      <c r="D64" s="17" t="s">
        <v>188</v>
      </c>
    </row>
    <row r="65" spans="1:4">
      <c r="A65" s="10">
        <f t="shared" si="0"/>
        <v>4915</v>
      </c>
      <c r="C65" s="21" t="s">
        <v>406</v>
      </c>
      <c r="D65" s="17" t="s">
        <v>190</v>
      </c>
    </row>
    <row r="66" spans="1:4">
      <c r="A66" s="10">
        <f t="shared" si="0"/>
        <v>4993</v>
      </c>
      <c r="C66" s="21" t="s">
        <v>408</v>
      </c>
      <c r="D66" s="17" t="s">
        <v>192</v>
      </c>
    </row>
    <row r="67" spans="1:4">
      <c r="A67" s="10">
        <f t="shared" si="0"/>
        <v>5071</v>
      </c>
      <c r="C67" s="21" t="s">
        <v>410</v>
      </c>
      <c r="D67" s="17" t="s">
        <v>194</v>
      </c>
    </row>
    <row r="68" spans="1:4">
      <c r="A68" s="10">
        <f t="shared" ref="A68:A131" si="1">A67+78</f>
        <v>5149</v>
      </c>
      <c r="C68" s="21" t="s">
        <v>411</v>
      </c>
      <c r="D68" s="17" t="s">
        <v>196</v>
      </c>
    </row>
    <row r="69" spans="1:4">
      <c r="A69" s="10">
        <f t="shared" si="1"/>
        <v>5227</v>
      </c>
      <c r="C69" s="21" t="s">
        <v>413</v>
      </c>
      <c r="D69" s="17" t="s">
        <v>198</v>
      </c>
    </row>
    <row r="70" spans="1:4">
      <c r="A70" s="10">
        <f t="shared" si="1"/>
        <v>5305</v>
      </c>
      <c r="C70" s="21" t="s">
        <v>415</v>
      </c>
      <c r="D70" s="17" t="s">
        <v>200</v>
      </c>
    </row>
    <row r="71" spans="1:4">
      <c r="A71" s="10">
        <f t="shared" si="1"/>
        <v>5383</v>
      </c>
      <c r="C71" s="21" t="s">
        <v>417</v>
      </c>
      <c r="D71" s="17" t="s">
        <v>202</v>
      </c>
    </row>
    <row r="72" spans="1:4">
      <c r="A72" s="10">
        <f t="shared" si="1"/>
        <v>5461</v>
      </c>
      <c r="C72" s="21" t="s">
        <v>419</v>
      </c>
      <c r="D72" s="17" t="s">
        <v>204</v>
      </c>
    </row>
    <row r="73" spans="1:4">
      <c r="A73" s="10">
        <f t="shared" si="1"/>
        <v>5539</v>
      </c>
      <c r="C73" s="21" t="s">
        <v>421</v>
      </c>
      <c r="D73" s="17" t="s">
        <v>206</v>
      </c>
    </row>
    <row r="74" spans="1:4">
      <c r="A74" s="10">
        <f t="shared" si="1"/>
        <v>5617</v>
      </c>
      <c r="C74" s="21" t="s">
        <v>423</v>
      </c>
      <c r="D74" s="17" t="s">
        <v>208</v>
      </c>
    </row>
    <row r="75" spans="1:4">
      <c r="A75" s="10">
        <f t="shared" si="1"/>
        <v>5695</v>
      </c>
      <c r="C75" s="21" t="s">
        <v>425</v>
      </c>
      <c r="D75" s="17" t="s">
        <v>210</v>
      </c>
    </row>
    <row r="76" spans="1:4">
      <c r="A76" s="10">
        <f t="shared" si="1"/>
        <v>5773</v>
      </c>
      <c r="C76" s="21" t="s">
        <v>427</v>
      </c>
      <c r="D76" s="17" t="s">
        <v>212</v>
      </c>
    </row>
    <row r="77" spans="1:4">
      <c r="A77" s="10">
        <f t="shared" si="1"/>
        <v>5851</v>
      </c>
      <c r="C77" s="21" t="s">
        <v>429</v>
      </c>
      <c r="D77" s="17" t="s">
        <v>214</v>
      </c>
    </row>
    <row r="78" spans="1:4">
      <c r="A78" s="10">
        <f t="shared" si="1"/>
        <v>5929</v>
      </c>
      <c r="C78" s="21" t="s">
        <v>431</v>
      </c>
      <c r="D78" s="17" t="s">
        <v>133</v>
      </c>
    </row>
    <row r="79" spans="1:4">
      <c r="A79" s="10">
        <f t="shared" si="1"/>
        <v>6007</v>
      </c>
      <c r="C79" s="21" t="s">
        <v>349</v>
      </c>
      <c r="D79" s="17" t="s">
        <v>217</v>
      </c>
    </row>
    <row r="80" spans="1:4">
      <c r="A80" s="10">
        <f t="shared" si="1"/>
        <v>6085</v>
      </c>
      <c r="C80" s="21" t="s">
        <v>434</v>
      </c>
      <c r="D80" s="17" t="s">
        <v>219</v>
      </c>
    </row>
    <row r="81" spans="1:4">
      <c r="A81" s="10">
        <f t="shared" si="1"/>
        <v>6163</v>
      </c>
      <c r="C81" s="21" t="s">
        <v>435</v>
      </c>
      <c r="D81" s="17" t="s">
        <v>121</v>
      </c>
    </row>
    <row r="82" spans="1:4">
      <c r="A82" s="10">
        <f t="shared" si="1"/>
        <v>6241</v>
      </c>
      <c r="C82" s="21" t="s">
        <v>195</v>
      </c>
      <c r="D82" s="17" t="s">
        <v>222</v>
      </c>
    </row>
    <row r="83" spans="1:4">
      <c r="A83" s="10">
        <f t="shared" si="1"/>
        <v>6319</v>
      </c>
      <c r="C83" s="21" t="s">
        <v>438</v>
      </c>
      <c r="D83" s="17" t="s">
        <v>224</v>
      </c>
    </row>
    <row r="84" spans="1:4">
      <c r="A84" s="10">
        <f t="shared" si="1"/>
        <v>6397</v>
      </c>
      <c r="C84" s="21" t="s">
        <v>440</v>
      </c>
      <c r="D84" s="17" t="s">
        <v>225</v>
      </c>
    </row>
    <row r="85" spans="1:4">
      <c r="A85" s="10">
        <f t="shared" si="1"/>
        <v>6475</v>
      </c>
      <c r="C85" s="21" t="s">
        <v>442</v>
      </c>
      <c r="D85" s="17" t="s">
        <v>227</v>
      </c>
    </row>
    <row r="86" spans="1:4">
      <c r="A86" s="10">
        <f t="shared" si="1"/>
        <v>6553</v>
      </c>
      <c r="C86" s="21" t="s">
        <v>444</v>
      </c>
      <c r="D86" s="17" t="s">
        <v>229</v>
      </c>
    </row>
    <row r="87" spans="1:4">
      <c r="A87" s="10">
        <f t="shared" si="1"/>
        <v>6631</v>
      </c>
      <c r="C87" s="21" t="s">
        <v>446</v>
      </c>
      <c r="D87" s="17" t="s">
        <v>231</v>
      </c>
    </row>
    <row r="88" spans="1:4">
      <c r="A88" s="10">
        <f t="shared" si="1"/>
        <v>6709</v>
      </c>
      <c r="C88" s="21" t="s">
        <v>398</v>
      </c>
      <c r="D88" s="17" t="s">
        <v>233</v>
      </c>
    </row>
    <row r="89" spans="1:4">
      <c r="A89" s="10">
        <f t="shared" si="1"/>
        <v>6787</v>
      </c>
      <c r="C89" s="21" t="s">
        <v>448</v>
      </c>
      <c r="D89" s="17" t="s">
        <v>235</v>
      </c>
    </row>
    <row r="90" spans="1:4">
      <c r="A90" s="10">
        <f t="shared" si="1"/>
        <v>6865</v>
      </c>
      <c r="C90" s="21" t="s">
        <v>450</v>
      </c>
      <c r="D90" s="17" t="s">
        <v>237</v>
      </c>
    </row>
    <row r="91" spans="1:4">
      <c r="A91" s="10">
        <f t="shared" si="1"/>
        <v>6943</v>
      </c>
      <c r="C91" s="21" t="s">
        <v>452</v>
      </c>
      <c r="D91" s="17" t="s">
        <v>239</v>
      </c>
    </row>
    <row r="92" spans="1:4">
      <c r="A92" s="10">
        <f t="shared" si="1"/>
        <v>7021</v>
      </c>
      <c r="C92" s="21" t="s">
        <v>454</v>
      </c>
      <c r="D92" s="17" t="s">
        <v>241</v>
      </c>
    </row>
    <row r="93" spans="1:4">
      <c r="A93" s="10">
        <f t="shared" si="1"/>
        <v>7099</v>
      </c>
      <c r="C93" s="21" t="s">
        <v>456</v>
      </c>
      <c r="D93" s="17" t="s">
        <v>243</v>
      </c>
    </row>
    <row r="94" spans="1:4">
      <c r="A94" s="10">
        <f t="shared" si="1"/>
        <v>7177</v>
      </c>
      <c r="C94" s="21" t="s">
        <v>458</v>
      </c>
      <c r="D94" s="17" t="s">
        <v>245</v>
      </c>
    </row>
    <row r="95" spans="1:4">
      <c r="A95" s="10">
        <f t="shared" si="1"/>
        <v>7255</v>
      </c>
      <c r="C95" s="21" t="s">
        <v>460</v>
      </c>
      <c r="D95" s="17" t="s">
        <v>247</v>
      </c>
    </row>
    <row r="96" spans="1:4">
      <c r="A96" s="10">
        <f t="shared" si="1"/>
        <v>7333</v>
      </c>
      <c r="C96" s="21" t="s">
        <v>462</v>
      </c>
      <c r="D96" s="17" t="s">
        <v>249</v>
      </c>
    </row>
    <row r="97" spans="1:4">
      <c r="A97" s="10">
        <f t="shared" si="1"/>
        <v>7411</v>
      </c>
      <c r="C97" s="21" t="s">
        <v>464</v>
      </c>
      <c r="D97" s="17" t="s">
        <v>251</v>
      </c>
    </row>
    <row r="98" spans="1:4">
      <c r="A98" s="10">
        <f t="shared" si="1"/>
        <v>7489</v>
      </c>
      <c r="C98" s="21" t="s">
        <v>465</v>
      </c>
      <c r="D98" s="17" t="s">
        <v>253</v>
      </c>
    </row>
    <row r="99" spans="1:4">
      <c r="A99" s="10">
        <f t="shared" si="1"/>
        <v>7567</v>
      </c>
      <c r="C99" s="21" t="s">
        <v>467</v>
      </c>
      <c r="D99" s="17" t="s">
        <v>255</v>
      </c>
    </row>
    <row r="100" spans="1:4">
      <c r="A100" s="10">
        <f t="shared" si="1"/>
        <v>7645</v>
      </c>
      <c r="C100" s="21" t="s">
        <v>469</v>
      </c>
      <c r="D100" s="17" t="s">
        <v>257</v>
      </c>
    </row>
    <row r="101" spans="1:4" ht="15.75" thickBot="1">
      <c r="A101" s="10">
        <f t="shared" si="1"/>
        <v>7723</v>
      </c>
      <c r="C101" s="22" t="s">
        <v>471</v>
      </c>
      <c r="D101" s="17" t="s">
        <v>259</v>
      </c>
    </row>
    <row r="102" spans="1:4" ht="15.75" thickTop="1">
      <c r="A102" s="10">
        <f t="shared" si="1"/>
        <v>7801</v>
      </c>
      <c r="C102" s="17" t="s">
        <v>108</v>
      </c>
      <c r="D102" s="17" t="s">
        <v>261</v>
      </c>
    </row>
    <row r="103" spans="1:4">
      <c r="A103" s="10">
        <f t="shared" si="1"/>
        <v>7879</v>
      </c>
      <c r="C103" s="17" t="s">
        <v>110</v>
      </c>
      <c r="D103" s="17" t="s">
        <v>263</v>
      </c>
    </row>
    <row r="104" spans="1:4">
      <c r="A104" s="10">
        <f t="shared" si="1"/>
        <v>7957</v>
      </c>
      <c r="C104" s="17" t="s">
        <v>112</v>
      </c>
      <c r="D104" s="17" t="s">
        <v>265</v>
      </c>
    </row>
    <row r="105" spans="1:4">
      <c r="A105" s="10">
        <f t="shared" si="1"/>
        <v>8035</v>
      </c>
      <c r="C105" s="17" t="s">
        <v>114</v>
      </c>
      <c r="D105" s="17" t="s">
        <v>267</v>
      </c>
    </row>
    <row r="106" spans="1:4">
      <c r="A106" s="10">
        <f t="shared" si="1"/>
        <v>8113</v>
      </c>
      <c r="C106" s="17" t="s">
        <v>116</v>
      </c>
      <c r="D106" s="17" t="s">
        <v>168</v>
      </c>
    </row>
    <row r="107" spans="1:4">
      <c r="A107" s="10">
        <f t="shared" si="1"/>
        <v>8191</v>
      </c>
      <c r="C107" s="17" t="s">
        <v>118</v>
      </c>
      <c r="D107" s="17" t="s">
        <v>270</v>
      </c>
    </row>
    <row r="108" spans="1:4">
      <c r="A108" s="10">
        <f t="shared" si="1"/>
        <v>8269</v>
      </c>
      <c r="C108" s="17" t="s">
        <v>120</v>
      </c>
      <c r="D108" s="17" t="s">
        <v>272</v>
      </c>
    </row>
    <row r="109" spans="1:4">
      <c r="A109" s="10">
        <f t="shared" si="1"/>
        <v>8347</v>
      </c>
      <c r="C109" s="17" t="s">
        <v>122</v>
      </c>
      <c r="D109" s="17" t="s">
        <v>274</v>
      </c>
    </row>
    <row r="110" spans="1:4">
      <c r="A110" s="10">
        <f t="shared" si="1"/>
        <v>8425</v>
      </c>
      <c r="C110" s="17" t="s">
        <v>124</v>
      </c>
      <c r="D110" s="17" t="s">
        <v>210</v>
      </c>
    </row>
    <row r="111" spans="1:4">
      <c r="A111" s="10">
        <f t="shared" si="1"/>
        <v>8503</v>
      </c>
      <c r="C111" s="17" t="s">
        <v>126</v>
      </c>
      <c r="D111" s="17" t="s">
        <v>277</v>
      </c>
    </row>
    <row r="112" spans="1:4">
      <c r="A112" s="10">
        <f t="shared" si="1"/>
        <v>8581</v>
      </c>
      <c r="C112" s="17" t="s">
        <v>128</v>
      </c>
      <c r="D112" s="17" t="s">
        <v>279</v>
      </c>
    </row>
    <row r="113" spans="1:4">
      <c r="A113" s="10">
        <f t="shared" si="1"/>
        <v>8659</v>
      </c>
      <c r="C113" s="17" t="s">
        <v>130</v>
      </c>
      <c r="D113" s="17" t="s">
        <v>281</v>
      </c>
    </row>
    <row r="114" spans="1:4">
      <c r="A114" s="10">
        <f t="shared" si="1"/>
        <v>8737</v>
      </c>
      <c r="C114" s="17" t="s">
        <v>132</v>
      </c>
      <c r="D114" s="17" t="s">
        <v>283</v>
      </c>
    </row>
    <row r="115" spans="1:4">
      <c r="A115" s="10">
        <f t="shared" si="1"/>
        <v>8815</v>
      </c>
      <c r="C115" s="17" t="s">
        <v>134</v>
      </c>
      <c r="D115" s="17" t="s">
        <v>257</v>
      </c>
    </row>
    <row r="116" spans="1:4">
      <c r="A116" s="10">
        <f t="shared" si="1"/>
        <v>8893</v>
      </c>
      <c r="C116" s="17" t="s">
        <v>136</v>
      </c>
      <c r="D116" s="17" t="s">
        <v>286</v>
      </c>
    </row>
    <row r="117" spans="1:4">
      <c r="A117" s="10">
        <f t="shared" si="1"/>
        <v>8971</v>
      </c>
      <c r="C117" s="17" t="s">
        <v>138</v>
      </c>
      <c r="D117" s="17" t="s">
        <v>288</v>
      </c>
    </row>
    <row r="118" spans="1:4">
      <c r="A118" s="10">
        <f t="shared" si="1"/>
        <v>9049</v>
      </c>
      <c r="C118" s="17" t="s">
        <v>140</v>
      </c>
      <c r="D118" s="17" t="s">
        <v>289</v>
      </c>
    </row>
    <row r="119" spans="1:4">
      <c r="A119" s="10">
        <f t="shared" si="1"/>
        <v>9127</v>
      </c>
      <c r="C119" s="17" t="s">
        <v>142</v>
      </c>
      <c r="D119" s="17" t="s">
        <v>291</v>
      </c>
    </row>
    <row r="120" spans="1:4">
      <c r="A120" s="10">
        <f t="shared" si="1"/>
        <v>9205</v>
      </c>
      <c r="C120" s="17" t="s">
        <v>144</v>
      </c>
      <c r="D120" s="17" t="s">
        <v>293</v>
      </c>
    </row>
    <row r="121" spans="1:4">
      <c r="A121" s="10">
        <f t="shared" si="1"/>
        <v>9283</v>
      </c>
      <c r="C121" s="17" t="s">
        <v>146</v>
      </c>
      <c r="D121" s="17" t="s">
        <v>295</v>
      </c>
    </row>
    <row r="122" spans="1:4">
      <c r="A122" s="10">
        <f t="shared" si="1"/>
        <v>9361</v>
      </c>
      <c r="C122" s="17" t="s">
        <v>148</v>
      </c>
      <c r="D122" s="17" t="s">
        <v>297</v>
      </c>
    </row>
    <row r="123" spans="1:4" ht="15.75" thickBot="1">
      <c r="A123" s="10">
        <f t="shared" si="1"/>
        <v>9439</v>
      </c>
      <c r="C123" s="17" t="s">
        <v>150</v>
      </c>
      <c r="D123" s="17" t="s">
        <v>299</v>
      </c>
    </row>
    <row r="124" spans="1:4" ht="15.75" thickTop="1">
      <c r="A124" s="10">
        <f t="shared" si="1"/>
        <v>9517</v>
      </c>
      <c r="C124" s="17" t="s">
        <v>152</v>
      </c>
      <c r="D124" s="20" t="s">
        <v>300</v>
      </c>
    </row>
    <row r="125" spans="1:4">
      <c r="A125" s="10">
        <f t="shared" si="1"/>
        <v>9595</v>
      </c>
      <c r="C125" s="17" t="s">
        <v>154</v>
      </c>
      <c r="D125" s="18" t="s">
        <v>302</v>
      </c>
    </row>
    <row r="126" spans="1:4">
      <c r="A126" s="10">
        <f t="shared" si="1"/>
        <v>9673</v>
      </c>
      <c r="C126" s="17" t="s">
        <v>156</v>
      </c>
      <c r="D126" s="18" t="s">
        <v>304</v>
      </c>
    </row>
    <row r="127" spans="1:4">
      <c r="A127" s="10">
        <f t="shared" si="1"/>
        <v>9751</v>
      </c>
      <c r="C127" s="17" t="s">
        <v>158</v>
      </c>
      <c r="D127" s="18" t="s">
        <v>306</v>
      </c>
    </row>
    <row r="128" spans="1:4">
      <c r="A128" s="10">
        <f t="shared" si="1"/>
        <v>9829</v>
      </c>
      <c r="C128" s="17" t="s">
        <v>160</v>
      </c>
      <c r="D128" s="18" t="s">
        <v>308</v>
      </c>
    </row>
    <row r="129" spans="1:4">
      <c r="A129" s="10">
        <f t="shared" si="1"/>
        <v>9907</v>
      </c>
      <c r="C129" s="17" t="s">
        <v>152</v>
      </c>
      <c r="D129" s="18" t="s">
        <v>310</v>
      </c>
    </row>
    <row r="130" spans="1:4">
      <c r="A130" s="10">
        <f t="shared" si="1"/>
        <v>9985</v>
      </c>
      <c r="C130" s="17" t="s">
        <v>163</v>
      </c>
      <c r="D130" s="18" t="s">
        <v>312</v>
      </c>
    </row>
    <row r="131" spans="1:4">
      <c r="A131" s="10">
        <f t="shared" si="1"/>
        <v>10063</v>
      </c>
      <c r="C131" s="17" t="s">
        <v>165</v>
      </c>
      <c r="D131" s="18" t="s">
        <v>314</v>
      </c>
    </row>
    <row r="132" spans="1:4">
      <c r="A132" s="10">
        <f t="shared" ref="A132:A195" si="2">A131+78</f>
        <v>10141</v>
      </c>
      <c r="C132" s="17" t="s">
        <v>167</v>
      </c>
      <c r="D132" s="18" t="s">
        <v>316</v>
      </c>
    </row>
    <row r="133" spans="1:4">
      <c r="A133" s="10">
        <f t="shared" si="2"/>
        <v>10219</v>
      </c>
      <c r="C133" s="17" t="s">
        <v>169</v>
      </c>
      <c r="D133" s="18" t="s">
        <v>318</v>
      </c>
    </row>
    <row r="134" spans="1:4">
      <c r="A134" s="10">
        <f t="shared" si="2"/>
        <v>10297</v>
      </c>
      <c r="C134" s="17" t="s">
        <v>171</v>
      </c>
      <c r="D134" s="18" t="s">
        <v>320</v>
      </c>
    </row>
    <row r="135" spans="1:4">
      <c r="A135" s="10">
        <f t="shared" si="2"/>
        <v>10375</v>
      </c>
      <c r="C135" s="17" t="s">
        <v>173</v>
      </c>
      <c r="D135" s="18" t="s">
        <v>322</v>
      </c>
    </row>
    <row r="136" spans="1:4">
      <c r="A136" s="10">
        <f t="shared" si="2"/>
        <v>10453</v>
      </c>
      <c r="C136" s="17" t="s">
        <v>175</v>
      </c>
      <c r="D136" s="18" t="s">
        <v>299</v>
      </c>
    </row>
    <row r="137" spans="1:4">
      <c r="A137" s="10">
        <f t="shared" si="2"/>
        <v>10531</v>
      </c>
      <c r="C137" s="17" t="s">
        <v>177</v>
      </c>
      <c r="D137" s="18" t="s">
        <v>325</v>
      </c>
    </row>
    <row r="138" spans="1:4">
      <c r="A138" s="10">
        <f t="shared" si="2"/>
        <v>10609</v>
      </c>
      <c r="C138" s="17" t="s">
        <v>179</v>
      </c>
      <c r="D138" s="18" t="s">
        <v>247</v>
      </c>
    </row>
    <row r="139" spans="1:4">
      <c r="A139" s="10">
        <f t="shared" si="2"/>
        <v>10687</v>
      </c>
      <c r="C139" s="17" t="s">
        <v>181</v>
      </c>
      <c r="D139" s="18" t="s">
        <v>328</v>
      </c>
    </row>
    <row r="140" spans="1:4">
      <c r="A140" s="10">
        <f t="shared" si="2"/>
        <v>10765</v>
      </c>
      <c r="C140" s="17" t="s">
        <v>183</v>
      </c>
      <c r="D140" s="18" t="s">
        <v>329</v>
      </c>
    </row>
    <row r="141" spans="1:4">
      <c r="A141" s="10">
        <f t="shared" si="2"/>
        <v>10843</v>
      </c>
      <c r="C141" s="17" t="s">
        <v>185</v>
      </c>
      <c r="D141" s="18" t="s">
        <v>331</v>
      </c>
    </row>
    <row r="142" spans="1:4">
      <c r="A142" s="10">
        <f t="shared" si="2"/>
        <v>10921</v>
      </c>
      <c r="C142" s="17" t="s">
        <v>187</v>
      </c>
      <c r="D142" s="18" t="s">
        <v>333</v>
      </c>
    </row>
    <row r="143" spans="1:4">
      <c r="A143" s="10">
        <f t="shared" si="2"/>
        <v>10999</v>
      </c>
      <c r="C143" s="17" t="s">
        <v>189</v>
      </c>
      <c r="D143" s="18" t="s">
        <v>335</v>
      </c>
    </row>
    <row r="144" spans="1:4">
      <c r="A144" s="10">
        <f t="shared" si="2"/>
        <v>11077</v>
      </c>
      <c r="C144" s="17" t="s">
        <v>191</v>
      </c>
      <c r="D144" s="18" t="s">
        <v>309</v>
      </c>
    </row>
    <row r="145" spans="1:4">
      <c r="A145" s="10">
        <f t="shared" si="2"/>
        <v>11155</v>
      </c>
      <c r="C145" s="17" t="s">
        <v>193</v>
      </c>
      <c r="D145" s="18" t="s">
        <v>338</v>
      </c>
    </row>
    <row r="146" spans="1:4">
      <c r="A146" s="10">
        <f t="shared" si="2"/>
        <v>11233</v>
      </c>
      <c r="C146" s="17" t="s">
        <v>195</v>
      </c>
      <c r="D146" s="18" t="s">
        <v>339</v>
      </c>
    </row>
    <row r="147" spans="1:4">
      <c r="A147" s="10">
        <f t="shared" si="2"/>
        <v>11311</v>
      </c>
      <c r="C147" s="17" t="s">
        <v>197</v>
      </c>
      <c r="D147" s="18" t="s">
        <v>341</v>
      </c>
    </row>
    <row r="148" spans="1:4">
      <c r="A148" s="10">
        <f t="shared" si="2"/>
        <v>11389</v>
      </c>
      <c r="C148" s="17" t="s">
        <v>199</v>
      </c>
      <c r="D148" s="18" t="s">
        <v>159</v>
      </c>
    </row>
    <row r="149" spans="1:4">
      <c r="A149" s="10">
        <f t="shared" si="2"/>
        <v>11467</v>
      </c>
      <c r="C149" s="17" t="s">
        <v>201</v>
      </c>
      <c r="D149" s="18" t="s">
        <v>344</v>
      </c>
    </row>
    <row r="150" spans="1:4">
      <c r="A150" s="10">
        <f t="shared" si="2"/>
        <v>11545</v>
      </c>
      <c r="C150" s="17" t="s">
        <v>203</v>
      </c>
      <c r="D150" s="18" t="s">
        <v>346</v>
      </c>
    </row>
    <row r="151" spans="1:4">
      <c r="A151" s="10">
        <f t="shared" si="2"/>
        <v>11623</v>
      </c>
      <c r="C151" s="17" t="s">
        <v>205</v>
      </c>
      <c r="D151" s="18" t="s">
        <v>347</v>
      </c>
    </row>
    <row r="152" spans="1:4">
      <c r="A152" s="10">
        <f t="shared" si="2"/>
        <v>11701</v>
      </c>
      <c r="C152" s="17" t="s">
        <v>207</v>
      </c>
      <c r="D152" s="18" t="s">
        <v>349</v>
      </c>
    </row>
    <row r="153" spans="1:4">
      <c r="A153" s="10">
        <f t="shared" si="2"/>
        <v>11779</v>
      </c>
      <c r="C153" s="17" t="s">
        <v>209</v>
      </c>
      <c r="D153" s="18" t="s">
        <v>351</v>
      </c>
    </row>
    <row r="154" spans="1:4">
      <c r="A154" s="10">
        <f t="shared" si="2"/>
        <v>11857</v>
      </c>
      <c r="C154" s="17" t="s">
        <v>211</v>
      </c>
      <c r="D154" s="18" t="s">
        <v>341</v>
      </c>
    </row>
    <row r="155" spans="1:4">
      <c r="A155" s="10">
        <f t="shared" si="2"/>
        <v>11935</v>
      </c>
      <c r="C155" s="17" t="s">
        <v>213</v>
      </c>
      <c r="D155" s="18" t="s">
        <v>354</v>
      </c>
    </row>
    <row r="156" spans="1:4">
      <c r="A156" s="10">
        <f t="shared" si="2"/>
        <v>12013</v>
      </c>
      <c r="C156" s="17" t="s">
        <v>215</v>
      </c>
      <c r="D156" s="18" t="s">
        <v>356</v>
      </c>
    </row>
    <row r="157" spans="1:4">
      <c r="A157" s="10">
        <f t="shared" si="2"/>
        <v>12091</v>
      </c>
      <c r="C157" s="17" t="s">
        <v>216</v>
      </c>
      <c r="D157" s="18" t="s">
        <v>358</v>
      </c>
    </row>
    <row r="158" spans="1:4">
      <c r="A158" s="10">
        <f t="shared" si="2"/>
        <v>12169</v>
      </c>
      <c r="C158" s="17" t="s">
        <v>218</v>
      </c>
      <c r="D158" s="18" t="s">
        <v>360</v>
      </c>
    </row>
    <row r="159" spans="1:4">
      <c r="A159" s="10">
        <f t="shared" si="2"/>
        <v>12247</v>
      </c>
      <c r="C159" s="17" t="s">
        <v>220</v>
      </c>
      <c r="D159" s="18" t="s">
        <v>361</v>
      </c>
    </row>
    <row r="160" spans="1:4">
      <c r="A160" s="10">
        <f t="shared" si="2"/>
        <v>12325</v>
      </c>
      <c r="C160" s="17" t="s">
        <v>221</v>
      </c>
      <c r="D160" s="18" t="s">
        <v>363</v>
      </c>
    </row>
    <row r="161" spans="1:4">
      <c r="A161" s="10">
        <f t="shared" si="2"/>
        <v>12403</v>
      </c>
      <c r="C161" s="17" t="s">
        <v>223</v>
      </c>
      <c r="D161" s="18" t="s">
        <v>365</v>
      </c>
    </row>
    <row r="162" spans="1:4">
      <c r="A162" s="10">
        <f t="shared" si="2"/>
        <v>12481</v>
      </c>
      <c r="C162" s="17" t="s">
        <v>138</v>
      </c>
      <c r="D162" s="18" t="s">
        <v>367</v>
      </c>
    </row>
    <row r="163" spans="1:4">
      <c r="A163" s="10">
        <f t="shared" si="2"/>
        <v>12559</v>
      </c>
      <c r="C163" s="17" t="s">
        <v>226</v>
      </c>
      <c r="D163" s="18" t="s">
        <v>369</v>
      </c>
    </row>
    <row r="164" spans="1:4">
      <c r="A164" s="10">
        <f t="shared" si="2"/>
        <v>12637</v>
      </c>
      <c r="C164" s="17" t="s">
        <v>228</v>
      </c>
      <c r="D164" s="18" t="s">
        <v>371</v>
      </c>
    </row>
    <row r="165" spans="1:4">
      <c r="A165" s="10">
        <f t="shared" si="2"/>
        <v>12715</v>
      </c>
      <c r="C165" s="17" t="s">
        <v>230</v>
      </c>
      <c r="D165" s="18" t="s">
        <v>373</v>
      </c>
    </row>
    <row r="166" spans="1:4">
      <c r="A166" s="10">
        <f t="shared" si="2"/>
        <v>12793</v>
      </c>
      <c r="C166" s="17" t="s">
        <v>232</v>
      </c>
      <c r="D166" s="18" t="s">
        <v>271</v>
      </c>
    </row>
    <row r="167" spans="1:4">
      <c r="A167" s="10">
        <f t="shared" si="2"/>
        <v>12871</v>
      </c>
      <c r="C167" s="17" t="s">
        <v>234</v>
      </c>
      <c r="D167" s="18" t="s">
        <v>376</v>
      </c>
    </row>
    <row r="168" spans="1:4">
      <c r="A168" s="10">
        <f t="shared" si="2"/>
        <v>12949</v>
      </c>
      <c r="C168" s="17" t="s">
        <v>236</v>
      </c>
      <c r="D168" s="18" t="s">
        <v>377</v>
      </c>
    </row>
    <row r="169" spans="1:4">
      <c r="A169" s="10">
        <f t="shared" si="2"/>
        <v>13027</v>
      </c>
      <c r="C169" s="17" t="s">
        <v>238</v>
      </c>
      <c r="D169" s="18" t="s">
        <v>308</v>
      </c>
    </row>
    <row r="170" spans="1:4">
      <c r="A170" s="10">
        <f t="shared" si="2"/>
        <v>13105</v>
      </c>
      <c r="C170" s="17" t="s">
        <v>240</v>
      </c>
      <c r="D170" s="18" t="s">
        <v>380</v>
      </c>
    </row>
    <row r="171" spans="1:4">
      <c r="A171" s="10">
        <f t="shared" si="2"/>
        <v>13183</v>
      </c>
      <c r="C171" s="17" t="s">
        <v>242</v>
      </c>
      <c r="D171" s="18" t="s">
        <v>382</v>
      </c>
    </row>
    <row r="172" spans="1:4">
      <c r="A172" s="10">
        <f t="shared" si="2"/>
        <v>13261</v>
      </c>
      <c r="C172" s="17" t="s">
        <v>244</v>
      </c>
      <c r="D172" s="18" t="s">
        <v>383</v>
      </c>
    </row>
    <row r="173" spans="1:4">
      <c r="A173" s="10">
        <f t="shared" si="2"/>
        <v>13339</v>
      </c>
      <c r="C173" s="17" t="s">
        <v>246</v>
      </c>
      <c r="D173" s="18" t="s">
        <v>385</v>
      </c>
    </row>
    <row r="174" spans="1:4">
      <c r="A174" s="10">
        <f t="shared" si="2"/>
        <v>13417</v>
      </c>
      <c r="C174" s="17" t="s">
        <v>248</v>
      </c>
      <c r="D174" s="18" t="s">
        <v>333</v>
      </c>
    </row>
    <row r="175" spans="1:4">
      <c r="A175" s="10">
        <f t="shared" si="2"/>
        <v>13495</v>
      </c>
      <c r="C175" s="17" t="s">
        <v>250</v>
      </c>
      <c r="D175" s="18" t="s">
        <v>388</v>
      </c>
    </row>
    <row r="176" spans="1:4">
      <c r="A176" s="10">
        <f t="shared" si="2"/>
        <v>13573</v>
      </c>
      <c r="C176" s="17" t="s">
        <v>252</v>
      </c>
      <c r="D176" s="18" t="s">
        <v>390</v>
      </c>
    </row>
    <row r="177" spans="1:4">
      <c r="A177" s="10">
        <f t="shared" si="2"/>
        <v>13651</v>
      </c>
      <c r="C177" s="17" t="s">
        <v>254</v>
      </c>
      <c r="D177" s="18" t="s">
        <v>392</v>
      </c>
    </row>
    <row r="178" spans="1:4">
      <c r="A178" s="10">
        <f t="shared" si="2"/>
        <v>13729</v>
      </c>
      <c r="C178" s="17" t="s">
        <v>256</v>
      </c>
      <c r="D178" s="18" t="s">
        <v>394</v>
      </c>
    </row>
    <row r="179" spans="1:4">
      <c r="A179" s="10">
        <f t="shared" si="2"/>
        <v>13807</v>
      </c>
      <c r="C179" s="17" t="s">
        <v>258</v>
      </c>
      <c r="D179" s="18" t="s">
        <v>303</v>
      </c>
    </row>
    <row r="180" spans="1:4">
      <c r="A180" s="10">
        <f t="shared" si="2"/>
        <v>13885</v>
      </c>
      <c r="C180" s="17" t="s">
        <v>260</v>
      </c>
      <c r="D180" s="18" t="s">
        <v>396</v>
      </c>
    </row>
    <row r="181" spans="1:4">
      <c r="A181" s="10">
        <f t="shared" si="2"/>
        <v>13963</v>
      </c>
      <c r="C181" s="17" t="s">
        <v>262</v>
      </c>
      <c r="D181" s="18" t="s">
        <v>397</v>
      </c>
    </row>
    <row r="182" spans="1:4">
      <c r="A182" s="10">
        <f t="shared" si="2"/>
        <v>14041</v>
      </c>
      <c r="C182" s="17" t="s">
        <v>264</v>
      </c>
      <c r="D182" s="18" t="s">
        <v>243</v>
      </c>
    </row>
    <row r="183" spans="1:4">
      <c r="A183" s="10">
        <f t="shared" si="2"/>
        <v>14119</v>
      </c>
      <c r="C183" s="17" t="s">
        <v>266</v>
      </c>
      <c r="D183" s="18" t="s">
        <v>399</v>
      </c>
    </row>
    <row r="184" spans="1:4">
      <c r="A184" s="10">
        <f t="shared" si="2"/>
        <v>14197</v>
      </c>
      <c r="C184" s="17" t="s">
        <v>268</v>
      </c>
      <c r="D184" s="18" t="s">
        <v>401</v>
      </c>
    </row>
    <row r="185" spans="1:4">
      <c r="A185" s="10">
        <f t="shared" si="2"/>
        <v>14275</v>
      </c>
      <c r="C185" s="17" t="s">
        <v>269</v>
      </c>
      <c r="D185" s="18" t="s">
        <v>403</v>
      </c>
    </row>
    <row r="186" spans="1:4">
      <c r="A186" s="10">
        <f t="shared" si="2"/>
        <v>14353</v>
      </c>
      <c r="C186" s="17" t="s">
        <v>271</v>
      </c>
      <c r="D186" s="18" t="s">
        <v>405</v>
      </c>
    </row>
    <row r="187" spans="1:4">
      <c r="A187" s="10">
        <f t="shared" si="2"/>
        <v>14431</v>
      </c>
      <c r="C187" s="17" t="s">
        <v>273</v>
      </c>
      <c r="D187" s="18" t="s">
        <v>407</v>
      </c>
    </row>
    <row r="188" spans="1:4">
      <c r="A188" s="10">
        <f t="shared" si="2"/>
        <v>14509</v>
      </c>
      <c r="C188" s="17" t="s">
        <v>275</v>
      </c>
      <c r="D188" s="18" t="s">
        <v>409</v>
      </c>
    </row>
    <row r="189" spans="1:4">
      <c r="A189" s="10">
        <f t="shared" si="2"/>
        <v>14587</v>
      </c>
      <c r="C189" s="17" t="s">
        <v>276</v>
      </c>
      <c r="D189" s="18" t="s">
        <v>159</v>
      </c>
    </row>
    <row r="190" spans="1:4">
      <c r="A190" s="10">
        <f t="shared" si="2"/>
        <v>14665</v>
      </c>
      <c r="C190" s="17" t="s">
        <v>278</v>
      </c>
      <c r="D190" s="18" t="s">
        <v>412</v>
      </c>
    </row>
    <row r="191" spans="1:4">
      <c r="A191" s="10">
        <f t="shared" si="2"/>
        <v>14743</v>
      </c>
      <c r="C191" s="17" t="s">
        <v>280</v>
      </c>
      <c r="D191" s="18" t="s">
        <v>414</v>
      </c>
    </row>
    <row r="192" spans="1:4">
      <c r="A192" s="10">
        <f t="shared" si="2"/>
        <v>14821</v>
      </c>
      <c r="C192" s="17" t="s">
        <v>282</v>
      </c>
      <c r="D192" s="18" t="s">
        <v>416</v>
      </c>
    </row>
    <row r="193" spans="1:4">
      <c r="A193" s="10">
        <f t="shared" si="2"/>
        <v>14899</v>
      </c>
      <c r="C193" s="17" t="s">
        <v>284</v>
      </c>
      <c r="D193" s="18" t="s">
        <v>418</v>
      </c>
    </row>
    <row r="194" spans="1:4">
      <c r="A194" s="10">
        <f t="shared" si="2"/>
        <v>14977</v>
      </c>
      <c r="C194" s="17" t="s">
        <v>285</v>
      </c>
      <c r="D194" s="18" t="s">
        <v>420</v>
      </c>
    </row>
    <row r="195" spans="1:4">
      <c r="A195" s="10">
        <f t="shared" si="2"/>
        <v>15055</v>
      </c>
      <c r="C195" s="17" t="s">
        <v>287</v>
      </c>
      <c r="D195" s="18" t="s">
        <v>422</v>
      </c>
    </row>
    <row r="196" spans="1:4">
      <c r="A196" s="10">
        <f t="shared" ref="A196:A201" si="3">A195+78</f>
        <v>15133</v>
      </c>
      <c r="C196" s="17" t="s">
        <v>177</v>
      </c>
      <c r="D196" s="18" t="s">
        <v>424</v>
      </c>
    </row>
    <row r="197" spans="1:4">
      <c r="A197" s="10">
        <f t="shared" si="3"/>
        <v>15211</v>
      </c>
      <c r="C197" s="17" t="s">
        <v>290</v>
      </c>
      <c r="D197" s="18" t="s">
        <v>426</v>
      </c>
    </row>
    <row r="198" spans="1:4">
      <c r="A198" s="10">
        <f t="shared" si="3"/>
        <v>15289</v>
      </c>
      <c r="C198" s="17" t="s">
        <v>292</v>
      </c>
      <c r="D198" s="18" t="s">
        <v>428</v>
      </c>
    </row>
    <row r="199" spans="1:4">
      <c r="A199" s="10">
        <f t="shared" si="3"/>
        <v>15367</v>
      </c>
      <c r="C199" s="17" t="s">
        <v>294</v>
      </c>
      <c r="D199" s="18" t="s">
        <v>430</v>
      </c>
    </row>
    <row r="200" spans="1:4">
      <c r="A200" s="10">
        <f t="shared" si="3"/>
        <v>15445</v>
      </c>
      <c r="C200" s="17" t="s">
        <v>296</v>
      </c>
      <c r="D200" s="18" t="s">
        <v>432</v>
      </c>
    </row>
    <row r="201" spans="1:4">
      <c r="A201" s="10">
        <f t="shared" si="3"/>
        <v>15523</v>
      </c>
      <c r="C201" s="17" t="s">
        <v>298</v>
      </c>
      <c r="D201" s="18" t="s">
        <v>433</v>
      </c>
    </row>
    <row r="202" spans="1:4">
      <c r="D202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G201"/>
  <sheetViews>
    <sheetView zoomScale="115" zoomScaleNormal="115" workbookViewId="0">
      <selection activeCell="B201" sqref="B2:B201"/>
    </sheetView>
  </sheetViews>
  <sheetFormatPr baseColWidth="10" defaultColWidth="11.42578125" defaultRowHeight="15"/>
  <cols>
    <col min="1" max="1" width="15.140625" customWidth="1"/>
  </cols>
  <sheetData>
    <row r="1" spans="1:7">
      <c r="A1" s="9" t="s">
        <v>92</v>
      </c>
      <c r="B1" s="9" t="s">
        <v>18</v>
      </c>
    </row>
    <row r="2" spans="1:7">
      <c r="A2" s="10">
        <v>1</v>
      </c>
      <c r="B2" s="10" t="s">
        <v>24</v>
      </c>
      <c r="C2" t="s">
        <v>1003</v>
      </c>
      <c r="D2" t="str">
        <f>UPPER(C2)</f>
        <v>SIN</v>
      </c>
      <c r="E2">
        <v>38</v>
      </c>
      <c r="F2" t="str">
        <f>CONCATENATE(D2,E2)</f>
        <v>SIN38</v>
      </c>
      <c r="G2" t="s">
        <v>1213</v>
      </c>
    </row>
    <row r="3" spans="1:7">
      <c r="A3" s="10">
        <f>A2+78</f>
        <v>79</v>
      </c>
      <c r="B3" s="10" t="s">
        <v>25</v>
      </c>
      <c r="C3" t="s">
        <v>576</v>
      </c>
      <c r="D3" t="str">
        <f t="shared" ref="D3:D66" si="0">UPPER(C3)</f>
        <v>FAX</v>
      </c>
      <c r="E3">
        <f>E2+62</f>
        <v>100</v>
      </c>
      <c r="F3" t="str">
        <f t="shared" ref="F3:F66" si="1">CONCATENATE(D3,E3)</f>
        <v>FAX100</v>
      </c>
      <c r="G3" t="s">
        <v>1214</v>
      </c>
    </row>
    <row r="4" spans="1:7">
      <c r="A4" s="10">
        <f t="shared" ref="A4:A67" si="2">A3+78</f>
        <v>157</v>
      </c>
      <c r="B4" s="10" t="s">
        <v>26</v>
      </c>
      <c r="C4" t="s">
        <v>641</v>
      </c>
      <c r="D4" t="str">
        <f t="shared" si="0"/>
        <v>NUN</v>
      </c>
      <c r="E4">
        <f t="shared" ref="E4:E67" si="3">E3+62</f>
        <v>162</v>
      </c>
      <c r="F4" t="str">
        <f t="shared" si="1"/>
        <v>NUN162</v>
      </c>
      <c r="G4" t="s">
        <v>1215</v>
      </c>
    </row>
    <row r="5" spans="1:7">
      <c r="A5" s="10">
        <f t="shared" si="2"/>
        <v>235</v>
      </c>
      <c r="B5" s="10" t="s">
        <v>27</v>
      </c>
      <c r="C5" t="s">
        <v>592</v>
      </c>
      <c r="D5" t="str">
        <f t="shared" si="0"/>
        <v>FUR</v>
      </c>
      <c r="E5">
        <f t="shared" si="3"/>
        <v>224</v>
      </c>
      <c r="F5" t="str">
        <f t="shared" si="1"/>
        <v>FUR224</v>
      </c>
      <c r="G5" t="s">
        <v>1216</v>
      </c>
    </row>
    <row r="6" spans="1:7">
      <c r="A6" s="10">
        <f t="shared" si="2"/>
        <v>313</v>
      </c>
      <c r="B6" s="10" t="s">
        <v>28</v>
      </c>
      <c r="C6" t="s">
        <v>991</v>
      </c>
      <c r="D6" t="str">
        <f t="shared" si="0"/>
        <v>ASH</v>
      </c>
      <c r="E6">
        <f t="shared" si="3"/>
        <v>286</v>
      </c>
      <c r="F6" t="str">
        <f t="shared" si="1"/>
        <v>ASH286</v>
      </c>
      <c r="G6" t="s">
        <v>1217</v>
      </c>
    </row>
    <row r="7" spans="1:7">
      <c r="A7" s="10">
        <f t="shared" si="2"/>
        <v>391</v>
      </c>
      <c r="B7" s="10" t="s">
        <v>29</v>
      </c>
      <c r="C7" t="s">
        <v>645</v>
      </c>
      <c r="D7" t="str">
        <f t="shared" si="0"/>
        <v>PIE</v>
      </c>
      <c r="E7">
        <f t="shared" si="3"/>
        <v>348</v>
      </c>
      <c r="F7" t="str">
        <f t="shared" si="1"/>
        <v>PIE348</v>
      </c>
      <c r="G7" t="s">
        <v>1218</v>
      </c>
    </row>
    <row r="8" spans="1:7">
      <c r="A8" s="10">
        <f t="shared" si="2"/>
        <v>469</v>
      </c>
      <c r="B8" s="10" t="s">
        <v>30</v>
      </c>
      <c r="C8" t="s">
        <v>622</v>
      </c>
      <c r="D8" t="str">
        <f t="shared" si="0"/>
        <v>TRY</v>
      </c>
      <c r="E8">
        <f t="shared" si="3"/>
        <v>410</v>
      </c>
      <c r="F8" t="str">
        <f t="shared" si="1"/>
        <v>TRY410</v>
      </c>
      <c r="G8" t="s">
        <v>1219</v>
      </c>
    </row>
    <row r="9" spans="1:7">
      <c r="A9" s="10">
        <f t="shared" si="2"/>
        <v>547</v>
      </c>
      <c r="B9" s="10" t="s">
        <v>31</v>
      </c>
      <c r="C9" t="s">
        <v>1001</v>
      </c>
      <c r="D9" t="str">
        <f t="shared" si="0"/>
        <v>RUN</v>
      </c>
      <c r="E9">
        <f t="shared" si="3"/>
        <v>472</v>
      </c>
      <c r="F9" t="str">
        <f t="shared" si="1"/>
        <v>RUN472</v>
      </c>
      <c r="G9" t="s">
        <v>1220</v>
      </c>
    </row>
    <row r="10" spans="1:7">
      <c r="A10" s="10">
        <f t="shared" si="2"/>
        <v>625</v>
      </c>
      <c r="B10" s="10" t="s">
        <v>32</v>
      </c>
      <c r="C10" t="s">
        <v>1210</v>
      </c>
      <c r="D10" t="str">
        <f t="shared" si="0"/>
        <v>VAN</v>
      </c>
      <c r="E10">
        <f t="shared" si="3"/>
        <v>534</v>
      </c>
      <c r="F10" t="str">
        <f t="shared" si="1"/>
        <v>VAN534</v>
      </c>
      <c r="G10" t="s">
        <v>1221</v>
      </c>
    </row>
    <row r="11" spans="1:7">
      <c r="A11" s="10">
        <f t="shared" si="2"/>
        <v>703</v>
      </c>
      <c r="B11" s="10" t="s">
        <v>33</v>
      </c>
      <c r="C11" t="s">
        <v>618</v>
      </c>
      <c r="D11" t="str">
        <f t="shared" si="0"/>
        <v>GUN</v>
      </c>
      <c r="E11">
        <f t="shared" si="3"/>
        <v>596</v>
      </c>
      <c r="F11" t="str">
        <f t="shared" si="1"/>
        <v>GUN596</v>
      </c>
      <c r="G11" t="s">
        <v>1222</v>
      </c>
    </row>
    <row r="12" spans="1:7">
      <c r="A12" s="10">
        <f t="shared" si="2"/>
        <v>781</v>
      </c>
      <c r="B12" s="10" t="s">
        <v>24</v>
      </c>
      <c r="C12" t="s">
        <v>852</v>
      </c>
      <c r="D12" t="str">
        <f t="shared" si="0"/>
        <v>FIT</v>
      </c>
      <c r="E12">
        <f t="shared" si="3"/>
        <v>658</v>
      </c>
      <c r="F12" t="str">
        <f t="shared" si="1"/>
        <v>FIT658</v>
      </c>
      <c r="G12" t="s">
        <v>1223</v>
      </c>
    </row>
    <row r="13" spans="1:7">
      <c r="A13" s="10">
        <f t="shared" si="2"/>
        <v>859</v>
      </c>
      <c r="B13" s="10" t="s">
        <v>25</v>
      </c>
      <c r="C13" t="s">
        <v>869</v>
      </c>
      <c r="D13" t="str">
        <f t="shared" si="0"/>
        <v>EGO</v>
      </c>
      <c r="E13">
        <f t="shared" si="3"/>
        <v>720</v>
      </c>
      <c r="F13" t="str">
        <f t="shared" si="1"/>
        <v>EGO720</v>
      </c>
      <c r="G13" t="s">
        <v>1224</v>
      </c>
    </row>
    <row r="14" spans="1:7">
      <c r="A14" s="10">
        <f t="shared" si="2"/>
        <v>937</v>
      </c>
      <c r="B14" s="10" t="s">
        <v>26</v>
      </c>
      <c r="C14" t="s">
        <v>577</v>
      </c>
      <c r="D14" t="str">
        <f t="shared" si="0"/>
        <v>GOD</v>
      </c>
      <c r="E14">
        <f t="shared" si="3"/>
        <v>782</v>
      </c>
      <c r="F14" t="str">
        <f t="shared" si="1"/>
        <v>GOD782</v>
      </c>
      <c r="G14" t="s">
        <v>1225</v>
      </c>
    </row>
    <row r="15" spans="1:7">
      <c r="A15" s="10">
        <f t="shared" si="2"/>
        <v>1015</v>
      </c>
      <c r="B15" s="10" t="s">
        <v>27</v>
      </c>
      <c r="C15" t="s">
        <v>848</v>
      </c>
      <c r="D15" t="str">
        <f t="shared" si="0"/>
        <v>RIB</v>
      </c>
      <c r="E15">
        <f t="shared" si="3"/>
        <v>844</v>
      </c>
      <c r="F15" t="str">
        <f t="shared" si="1"/>
        <v>RIB844</v>
      </c>
      <c r="G15" t="s">
        <v>1226</v>
      </c>
    </row>
    <row r="16" spans="1:7">
      <c r="A16" s="10">
        <f t="shared" si="2"/>
        <v>1093</v>
      </c>
      <c r="B16" s="10" t="s">
        <v>28</v>
      </c>
      <c r="C16" t="s">
        <v>605</v>
      </c>
      <c r="D16" t="str">
        <f t="shared" si="0"/>
        <v>HAY</v>
      </c>
      <c r="E16">
        <f t="shared" si="3"/>
        <v>906</v>
      </c>
      <c r="F16" t="str">
        <f t="shared" si="1"/>
        <v>HAY906</v>
      </c>
      <c r="G16" t="s">
        <v>1227</v>
      </c>
    </row>
    <row r="17" spans="1:7">
      <c r="A17" s="10">
        <f t="shared" si="2"/>
        <v>1171</v>
      </c>
      <c r="B17" s="10" t="s">
        <v>29</v>
      </c>
      <c r="C17" t="s">
        <v>638</v>
      </c>
      <c r="D17" t="str">
        <f t="shared" si="0"/>
        <v>OWE</v>
      </c>
      <c r="E17">
        <f t="shared" si="3"/>
        <v>968</v>
      </c>
      <c r="F17" t="str">
        <f t="shared" si="1"/>
        <v>OWE968</v>
      </c>
      <c r="G17" t="s">
        <v>1228</v>
      </c>
    </row>
    <row r="18" spans="1:7">
      <c r="A18" s="10">
        <f t="shared" si="2"/>
        <v>1249</v>
      </c>
      <c r="B18" s="10" t="s">
        <v>30</v>
      </c>
      <c r="C18" t="s">
        <v>589</v>
      </c>
      <c r="D18" t="str">
        <f t="shared" si="0"/>
        <v>PIG</v>
      </c>
      <c r="E18">
        <f t="shared" si="3"/>
        <v>1030</v>
      </c>
      <c r="F18" t="str">
        <f t="shared" si="1"/>
        <v>PIG1030</v>
      </c>
      <c r="G18" t="s">
        <v>1229</v>
      </c>
    </row>
    <row r="19" spans="1:7">
      <c r="A19" s="10">
        <f t="shared" si="2"/>
        <v>1327</v>
      </c>
      <c r="B19" s="10" t="s">
        <v>31</v>
      </c>
      <c r="C19" t="s">
        <v>626</v>
      </c>
      <c r="D19" t="str">
        <f t="shared" si="0"/>
        <v>EAR</v>
      </c>
      <c r="E19">
        <f t="shared" si="3"/>
        <v>1092</v>
      </c>
      <c r="F19" t="str">
        <f t="shared" si="1"/>
        <v>EAR1092</v>
      </c>
      <c r="G19" t="s">
        <v>1230</v>
      </c>
    </row>
    <row r="20" spans="1:7">
      <c r="A20" s="10">
        <f t="shared" si="2"/>
        <v>1405</v>
      </c>
      <c r="B20" s="10" t="s">
        <v>32</v>
      </c>
      <c r="C20" t="s">
        <v>873</v>
      </c>
      <c r="D20" t="str">
        <f t="shared" si="0"/>
        <v>CAN</v>
      </c>
      <c r="E20">
        <f t="shared" si="3"/>
        <v>1154</v>
      </c>
      <c r="F20" t="str">
        <f t="shared" si="1"/>
        <v>CAN1154</v>
      </c>
      <c r="G20" t="s">
        <v>1231</v>
      </c>
    </row>
    <row r="21" spans="1:7">
      <c r="A21" s="10">
        <f t="shared" si="2"/>
        <v>1483</v>
      </c>
      <c r="B21" s="10" t="s">
        <v>33</v>
      </c>
      <c r="C21" t="s">
        <v>602</v>
      </c>
      <c r="D21" t="str">
        <f t="shared" si="0"/>
        <v>JOY</v>
      </c>
      <c r="E21">
        <f t="shared" si="3"/>
        <v>1216</v>
      </c>
      <c r="F21" t="str">
        <f t="shared" si="1"/>
        <v>JOY1216</v>
      </c>
      <c r="G21" t="s">
        <v>1232</v>
      </c>
    </row>
    <row r="22" spans="1:7">
      <c r="A22" s="10">
        <f t="shared" si="2"/>
        <v>1561</v>
      </c>
      <c r="B22" s="10" t="s">
        <v>24</v>
      </c>
      <c r="C22" t="s">
        <v>882</v>
      </c>
      <c r="D22" t="str">
        <f t="shared" si="0"/>
        <v>USE</v>
      </c>
      <c r="E22">
        <f t="shared" si="3"/>
        <v>1278</v>
      </c>
      <c r="F22" t="str">
        <f t="shared" si="1"/>
        <v>USE1278</v>
      </c>
      <c r="G22" t="s">
        <v>1233</v>
      </c>
    </row>
    <row r="23" spans="1:7">
      <c r="A23" s="10">
        <f t="shared" si="2"/>
        <v>1639</v>
      </c>
      <c r="B23" s="10" t="s">
        <v>25</v>
      </c>
      <c r="C23" t="s">
        <v>630</v>
      </c>
      <c r="D23" t="str">
        <f t="shared" si="0"/>
        <v>HOT</v>
      </c>
      <c r="E23">
        <f t="shared" si="3"/>
        <v>1340</v>
      </c>
      <c r="F23" t="str">
        <f t="shared" si="1"/>
        <v>HOT1340</v>
      </c>
      <c r="G23" t="s">
        <v>1234</v>
      </c>
    </row>
    <row r="24" spans="1:7">
      <c r="A24" s="10">
        <f t="shared" si="2"/>
        <v>1717</v>
      </c>
      <c r="B24" s="10" t="s">
        <v>26</v>
      </c>
      <c r="C24" t="s">
        <v>871</v>
      </c>
      <c r="D24" t="str">
        <f t="shared" si="0"/>
        <v>LOG</v>
      </c>
      <c r="E24">
        <f t="shared" si="3"/>
        <v>1402</v>
      </c>
      <c r="F24" t="str">
        <f t="shared" si="1"/>
        <v>LOG1402</v>
      </c>
      <c r="G24" t="s">
        <v>1235</v>
      </c>
    </row>
    <row r="25" spans="1:7">
      <c r="A25" s="10">
        <f t="shared" si="2"/>
        <v>1795</v>
      </c>
      <c r="B25" s="10" t="s">
        <v>27</v>
      </c>
      <c r="C25" t="s">
        <v>579</v>
      </c>
      <c r="D25" t="str">
        <f t="shared" si="0"/>
        <v>LEG</v>
      </c>
      <c r="E25">
        <f t="shared" si="3"/>
        <v>1464</v>
      </c>
      <c r="F25" t="str">
        <f t="shared" si="1"/>
        <v>LEG1464</v>
      </c>
      <c r="G25" t="s">
        <v>1236</v>
      </c>
    </row>
    <row r="26" spans="1:7">
      <c r="A26" s="10">
        <f t="shared" si="2"/>
        <v>1873</v>
      </c>
      <c r="B26" s="10" t="s">
        <v>28</v>
      </c>
      <c r="C26" t="s">
        <v>886</v>
      </c>
      <c r="D26" t="str">
        <f t="shared" si="0"/>
        <v>NET</v>
      </c>
      <c r="E26">
        <f t="shared" si="3"/>
        <v>1526</v>
      </c>
      <c r="F26" t="str">
        <f t="shared" si="1"/>
        <v>NET1526</v>
      </c>
      <c r="G26" t="s">
        <v>1237</v>
      </c>
    </row>
    <row r="27" spans="1:7">
      <c r="A27" s="10">
        <f t="shared" si="2"/>
        <v>1951</v>
      </c>
      <c r="B27" s="10" t="s">
        <v>29</v>
      </c>
      <c r="C27" t="s">
        <v>617</v>
      </c>
      <c r="D27" t="str">
        <f t="shared" si="0"/>
        <v>FEW</v>
      </c>
      <c r="E27">
        <f t="shared" si="3"/>
        <v>1588</v>
      </c>
      <c r="F27" t="str">
        <f t="shared" si="1"/>
        <v>FEW1588</v>
      </c>
      <c r="G27" t="s">
        <v>1238</v>
      </c>
    </row>
    <row r="28" spans="1:7">
      <c r="A28" s="10">
        <f t="shared" si="2"/>
        <v>2029</v>
      </c>
      <c r="B28" s="10" t="s">
        <v>30</v>
      </c>
      <c r="C28" t="s">
        <v>1007</v>
      </c>
      <c r="D28" t="str">
        <f t="shared" si="0"/>
        <v>CAP</v>
      </c>
      <c r="E28">
        <f t="shared" si="3"/>
        <v>1650</v>
      </c>
      <c r="F28" t="str">
        <f t="shared" si="1"/>
        <v>CAP1650</v>
      </c>
      <c r="G28" t="s">
        <v>1239</v>
      </c>
    </row>
    <row r="29" spans="1:7">
      <c r="A29" s="10">
        <f t="shared" si="2"/>
        <v>2107</v>
      </c>
      <c r="B29" s="10" t="s">
        <v>31</v>
      </c>
      <c r="C29" t="s">
        <v>857</v>
      </c>
      <c r="D29" t="str">
        <f t="shared" si="0"/>
        <v>GAS</v>
      </c>
      <c r="E29">
        <f t="shared" si="3"/>
        <v>1712</v>
      </c>
      <c r="F29" t="str">
        <f t="shared" si="1"/>
        <v>GAS1712</v>
      </c>
      <c r="G29" t="s">
        <v>1240</v>
      </c>
    </row>
    <row r="30" spans="1:7">
      <c r="A30" s="10">
        <f t="shared" si="2"/>
        <v>2185</v>
      </c>
      <c r="B30" s="10" t="s">
        <v>32</v>
      </c>
      <c r="C30" t="s">
        <v>615</v>
      </c>
      <c r="D30" t="str">
        <f t="shared" si="0"/>
        <v>ANT</v>
      </c>
      <c r="E30">
        <f t="shared" si="3"/>
        <v>1774</v>
      </c>
      <c r="F30" t="str">
        <f t="shared" si="1"/>
        <v>ANT1774</v>
      </c>
      <c r="G30" t="s">
        <v>1241</v>
      </c>
    </row>
    <row r="31" spans="1:7">
      <c r="A31" s="10">
        <f t="shared" si="2"/>
        <v>2263</v>
      </c>
      <c r="B31" s="10" t="s">
        <v>33</v>
      </c>
      <c r="C31" t="s">
        <v>583</v>
      </c>
      <c r="D31" t="str">
        <f t="shared" si="0"/>
        <v>DRY</v>
      </c>
      <c r="E31">
        <f t="shared" si="3"/>
        <v>1836</v>
      </c>
      <c r="F31" t="str">
        <f t="shared" si="1"/>
        <v>DRY1836</v>
      </c>
      <c r="G31" t="s">
        <v>1242</v>
      </c>
    </row>
    <row r="32" spans="1:7">
      <c r="A32" s="10">
        <f t="shared" si="2"/>
        <v>2341</v>
      </c>
      <c r="B32" s="10" t="s">
        <v>24</v>
      </c>
      <c r="C32" t="s">
        <v>992</v>
      </c>
      <c r="D32" t="str">
        <f t="shared" si="0"/>
        <v>NAP</v>
      </c>
      <c r="E32">
        <f t="shared" si="3"/>
        <v>1898</v>
      </c>
      <c r="F32" t="str">
        <f t="shared" si="1"/>
        <v>NAP1898</v>
      </c>
      <c r="G32" t="s">
        <v>1243</v>
      </c>
    </row>
    <row r="33" spans="1:7">
      <c r="A33" s="10">
        <f t="shared" si="2"/>
        <v>2419</v>
      </c>
      <c r="B33" s="10" t="s">
        <v>25</v>
      </c>
      <c r="C33" t="s">
        <v>590</v>
      </c>
      <c r="D33" t="str">
        <f t="shared" si="0"/>
        <v>KIT</v>
      </c>
      <c r="E33">
        <f t="shared" si="3"/>
        <v>1960</v>
      </c>
      <c r="F33" t="str">
        <f t="shared" si="1"/>
        <v>KIT1960</v>
      </c>
      <c r="G33" t="s">
        <v>1244</v>
      </c>
    </row>
    <row r="34" spans="1:7">
      <c r="A34" s="10">
        <f t="shared" si="2"/>
        <v>2497</v>
      </c>
      <c r="B34" s="10" t="s">
        <v>26</v>
      </c>
      <c r="C34" t="s">
        <v>619</v>
      </c>
      <c r="D34" t="str">
        <f t="shared" si="0"/>
        <v>ASK</v>
      </c>
      <c r="E34">
        <f t="shared" si="3"/>
        <v>2022</v>
      </c>
      <c r="F34" t="str">
        <f t="shared" si="1"/>
        <v>ASK2022</v>
      </c>
      <c r="G34" t="s">
        <v>1245</v>
      </c>
    </row>
    <row r="35" spans="1:7">
      <c r="A35" s="10">
        <f t="shared" si="2"/>
        <v>2575</v>
      </c>
      <c r="B35" s="10" t="s">
        <v>27</v>
      </c>
      <c r="C35" t="s">
        <v>580</v>
      </c>
      <c r="D35" t="str">
        <f t="shared" si="0"/>
        <v>PAT</v>
      </c>
      <c r="E35">
        <f t="shared" si="3"/>
        <v>2084</v>
      </c>
      <c r="F35" t="str">
        <f t="shared" si="1"/>
        <v>PAT2084</v>
      </c>
      <c r="G35" t="s">
        <v>1246</v>
      </c>
    </row>
    <row r="36" spans="1:7">
      <c r="A36" s="10">
        <f t="shared" si="2"/>
        <v>2653</v>
      </c>
      <c r="B36" s="10" t="s">
        <v>28</v>
      </c>
      <c r="C36" t="s">
        <v>585</v>
      </c>
      <c r="D36" t="str">
        <f t="shared" si="0"/>
        <v>HUT</v>
      </c>
      <c r="E36">
        <f t="shared" si="3"/>
        <v>2146</v>
      </c>
      <c r="F36" t="str">
        <f t="shared" si="1"/>
        <v>HUT2146</v>
      </c>
      <c r="G36" t="s">
        <v>1247</v>
      </c>
    </row>
    <row r="37" spans="1:7">
      <c r="A37" s="10">
        <f t="shared" si="2"/>
        <v>2731</v>
      </c>
      <c r="B37" s="10" t="s">
        <v>29</v>
      </c>
      <c r="C37" t="s">
        <v>1005</v>
      </c>
      <c r="D37" t="str">
        <f t="shared" si="0"/>
        <v>BUS</v>
      </c>
      <c r="E37">
        <f t="shared" si="3"/>
        <v>2208</v>
      </c>
      <c r="F37" t="str">
        <f t="shared" si="1"/>
        <v>BUS2208</v>
      </c>
      <c r="G37" t="s">
        <v>1248</v>
      </c>
    </row>
    <row r="38" spans="1:7">
      <c r="A38" s="10">
        <f t="shared" si="2"/>
        <v>2809</v>
      </c>
      <c r="B38" s="10" t="s">
        <v>30</v>
      </c>
      <c r="C38" t="s">
        <v>875</v>
      </c>
      <c r="D38" t="str">
        <f t="shared" si="0"/>
        <v>BAN</v>
      </c>
      <c r="E38">
        <f t="shared" si="3"/>
        <v>2270</v>
      </c>
      <c r="F38" t="str">
        <f t="shared" si="1"/>
        <v>BAN2270</v>
      </c>
      <c r="G38" t="s">
        <v>1249</v>
      </c>
    </row>
    <row r="39" spans="1:7">
      <c r="A39" s="10">
        <f t="shared" si="2"/>
        <v>2887</v>
      </c>
      <c r="B39" s="10" t="s">
        <v>31</v>
      </c>
      <c r="C39" t="s">
        <v>996</v>
      </c>
      <c r="D39" t="str">
        <f t="shared" si="0"/>
        <v>FIX</v>
      </c>
      <c r="E39">
        <f t="shared" si="3"/>
        <v>2332</v>
      </c>
      <c r="F39" t="str">
        <f t="shared" si="1"/>
        <v>FIX2332</v>
      </c>
      <c r="G39" t="s">
        <v>1250</v>
      </c>
    </row>
    <row r="40" spans="1:7">
      <c r="A40" s="10">
        <f t="shared" si="2"/>
        <v>2965</v>
      </c>
      <c r="B40" s="10" t="s">
        <v>32</v>
      </c>
      <c r="C40" t="s">
        <v>876</v>
      </c>
      <c r="D40" t="str">
        <f t="shared" si="0"/>
        <v>LOT</v>
      </c>
      <c r="E40">
        <f t="shared" si="3"/>
        <v>2394</v>
      </c>
      <c r="F40" t="str">
        <f t="shared" si="1"/>
        <v>LOT2394</v>
      </c>
      <c r="G40" t="s">
        <v>1251</v>
      </c>
    </row>
    <row r="41" spans="1:7">
      <c r="A41" s="10">
        <f t="shared" si="2"/>
        <v>3043</v>
      </c>
      <c r="B41" s="10" t="s">
        <v>33</v>
      </c>
      <c r="C41" t="s">
        <v>877</v>
      </c>
      <c r="D41" t="str">
        <f t="shared" si="0"/>
        <v>MUG</v>
      </c>
      <c r="E41">
        <f t="shared" si="3"/>
        <v>2456</v>
      </c>
      <c r="F41" t="str">
        <f t="shared" si="1"/>
        <v>MUG2456</v>
      </c>
      <c r="G41" t="s">
        <v>1252</v>
      </c>
    </row>
    <row r="42" spans="1:7">
      <c r="A42" s="10">
        <f t="shared" si="2"/>
        <v>3121</v>
      </c>
      <c r="B42" s="10" t="s">
        <v>24</v>
      </c>
      <c r="C42" t="s">
        <v>593</v>
      </c>
      <c r="D42" t="str">
        <f t="shared" si="0"/>
        <v>SEX</v>
      </c>
      <c r="E42">
        <f t="shared" si="3"/>
        <v>2518</v>
      </c>
      <c r="F42" t="str">
        <f t="shared" si="1"/>
        <v>SEX2518</v>
      </c>
      <c r="G42" t="s">
        <v>1253</v>
      </c>
    </row>
    <row r="43" spans="1:7">
      <c r="A43" s="10">
        <f t="shared" si="2"/>
        <v>3199</v>
      </c>
      <c r="B43" s="10" t="s">
        <v>25</v>
      </c>
      <c r="C43" t="s">
        <v>847</v>
      </c>
      <c r="D43" t="str">
        <f t="shared" si="0"/>
        <v>LIE</v>
      </c>
      <c r="E43">
        <f t="shared" si="3"/>
        <v>2580</v>
      </c>
      <c r="F43" t="str">
        <f t="shared" si="1"/>
        <v>LIE2580</v>
      </c>
      <c r="G43" t="s">
        <v>1254</v>
      </c>
    </row>
    <row r="44" spans="1:7">
      <c r="A44" s="10">
        <f t="shared" si="2"/>
        <v>3277</v>
      </c>
      <c r="B44" s="10" t="s">
        <v>26</v>
      </c>
      <c r="C44" t="s">
        <v>859</v>
      </c>
      <c r="D44" t="str">
        <f t="shared" si="0"/>
        <v>BEE</v>
      </c>
      <c r="E44">
        <f t="shared" si="3"/>
        <v>2642</v>
      </c>
      <c r="F44" t="str">
        <f t="shared" si="1"/>
        <v>BEE2642</v>
      </c>
      <c r="G44" t="s">
        <v>1255</v>
      </c>
    </row>
    <row r="45" spans="1:7">
      <c r="A45" s="10">
        <f t="shared" si="2"/>
        <v>3355</v>
      </c>
      <c r="B45" s="10" t="s">
        <v>27</v>
      </c>
      <c r="C45" t="s">
        <v>601</v>
      </c>
      <c r="D45" t="str">
        <f t="shared" si="0"/>
        <v>DIE</v>
      </c>
      <c r="E45">
        <f t="shared" si="3"/>
        <v>2704</v>
      </c>
      <c r="F45" t="str">
        <f t="shared" si="1"/>
        <v>DIE2704</v>
      </c>
      <c r="G45" t="s">
        <v>1256</v>
      </c>
    </row>
    <row r="46" spans="1:7">
      <c r="A46" s="10">
        <f t="shared" si="2"/>
        <v>3433</v>
      </c>
      <c r="B46" s="10" t="s">
        <v>28</v>
      </c>
      <c r="C46" t="s">
        <v>1211</v>
      </c>
      <c r="D46" t="str">
        <f t="shared" si="0"/>
        <v>DAY</v>
      </c>
      <c r="E46">
        <f t="shared" si="3"/>
        <v>2766</v>
      </c>
      <c r="F46" t="str">
        <f t="shared" si="1"/>
        <v>DAY2766</v>
      </c>
      <c r="G46" t="s">
        <v>1257</v>
      </c>
    </row>
    <row r="47" spans="1:7">
      <c r="A47" s="10">
        <f t="shared" si="2"/>
        <v>3511</v>
      </c>
      <c r="B47" s="10" t="s">
        <v>29</v>
      </c>
      <c r="C47" t="s">
        <v>883</v>
      </c>
      <c r="D47" t="str">
        <f t="shared" si="0"/>
        <v>PEN</v>
      </c>
      <c r="E47">
        <f t="shared" si="3"/>
        <v>2828</v>
      </c>
      <c r="F47" t="str">
        <f t="shared" si="1"/>
        <v>PEN2828</v>
      </c>
      <c r="G47" t="s">
        <v>1258</v>
      </c>
    </row>
    <row r="48" spans="1:7">
      <c r="A48" s="10">
        <f t="shared" si="2"/>
        <v>3589</v>
      </c>
      <c r="B48" s="10" t="s">
        <v>30</v>
      </c>
      <c r="C48" t="s">
        <v>880</v>
      </c>
      <c r="D48" t="str">
        <f t="shared" si="0"/>
        <v>CAT</v>
      </c>
      <c r="E48">
        <f t="shared" si="3"/>
        <v>2890</v>
      </c>
      <c r="F48" t="str">
        <f t="shared" si="1"/>
        <v>CAT2890</v>
      </c>
      <c r="G48" t="s">
        <v>1259</v>
      </c>
    </row>
    <row r="49" spans="1:7">
      <c r="A49" s="10">
        <f t="shared" si="2"/>
        <v>3667</v>
      </c>
      <c r="B49" s="10" t="s">
        <v>31</v>
      </c>
      <c r="C49" t="s">
        <v>607</v>
      </c>
      <c r="D49" t="str">
        <f t="shared" si="0"/>
        <v>DUE</v>
      </c>
      <c r="E49">
        <f t="shared" si="3"/>
        <v>2952</v>
      </c>
      <c r="F49" t="str">
        <f t="shared" si="1"/>
        <v>DUE2952</v>
      </c>
      <c r="G49" t="s">
        <v>1260</v>
      </c>
    </row>
    <row r="50" spans="1:7">
      <c r="A50" s="10">
        <f t="shared" si="2"/>
        <v>3745</v>
      </c>
      <c r="B50" s="10" t="s">
        <v>32</v>
      </c>
      <c r="C50" t="s">
        <v>854</v>
      </c>
      <c r="D50" t="str">
        <f t="shared" si="0"/>
        <v>KID</v>
      </c>
      <c r="E50">
        <f t="shared" si="3"/>
        <v>3014</v>
      </c>
      <c r="F50" t="str">
        <f t="shared" si="1"/>
        <v>KID3014</v>
      </c>
      <c r="G50" t="s">
        <v>1261</v>
      </c>
    </row>
    <row r="51" spans="1:7">
      <c r="A51" s="10">
        <f t="shared" si="2"/>
        <v>3823</v>
      </c>
      <c r="B51" s="10" t="s">
        <v>33</v>
      </c>
      <c r="C51" t="s">
        <v>995</v>
      </c>
      <c r="D51" t="str">
        <f t="shared" si="0"/>
        <v>RUB</v>
      </c>
      <c r="E51">
        <f t="shared" si="3"/>
        <v>3076</v>
      </c>
      <c r="F51" t="str">
        <f t="shared" si="1"/>
        <v>RUB3076</v>
      </c>
      <c r="G51" t="s">
        <v>1262</v>
      </c>
    </row>
    <row r="52" spans="1:7">
      <c r="A52" s="10">
        <f t="shared" si="2"/>
        <v>3901</v>
      </c>
      <c r="B52" s="10" t="s">
        <v>24</v>
      </c>
      <c r="C52" t="s">
        <v>1210</v>
      </c>
      <c r="D52" t="str">
        <f t="shared" si="0"/>
        <v>VAN</v>
      </c>
      <c r="E52">
        <f t="shared" si="3"/>
        <v>3138</v>
      </c>
      <c r="F52" t="str">
        <f t="shared" si="1"/>
        <v>VAN3138</v>
      </c>
      <c r="G52" t="s">
        <v>1263</v>
      </c>
    </row>
    <row r="53" spans="1:7">
      <c r="A53" s="10">
        <f t="shared" si="2"/>
        <v>3979</v>
      </c>
      <c r="B53" s="10" t="s">
        <v>25</v>
      </c>
      <c r="C53" t="s">
        <v>872</v>
      </c>
      <c r="D53" t="str">
        <f t="shared" si="0"/>
        <v>LOW</v>
      </c>
      <c r="E53">
        <f t="shared" si="3"/>
        <v>3200</v>
      </c>
      <c r="F53" t="str">
        <f t="shared" si="1"/>
        <v>LOW3200</v>
      </c>
      <c r="G53" t="s">
        <v>1264</v>
      </c>
    </row>
    <row r="54" spans="1:7">
      <c r="A54" s="10">
        <f t="shared" si="2"/>
        <v>4057</v>
      </c>
      <c r="B54" s="10" t="s">
        <v>26</v>
      </c>
      <c r="C54" t="s">
        <v>990</v>
      </c>
      <c r="D54" t="str">
        <f t="shared" si="0"/>
        <v>MUD</v>
      </c>
      <c r="E54">
        <f t="shared" si="3"/>
        <v>3262</v>
      </c>
      <c r="F54" t="str">
        <f t="shared" si="1"/>
        <v>MUD3262</v>
      </c>
      <c r="G54" t="s">
        <v>1265</v>
      </c>
    </row>
    <row r="55" spans="1:7">
      <c r="A55" s="10">
        <f t="shared" si="2"/>
        <v>4135</v>
      </c>
      <c r="B55" s="10" t="s">
        <v>27</v>
      </c>
      <c r="C55" t="s">
        <v>871</v>
      </c>
      <c r="D55" t="str">
        <f t="shared" si="0"/>
        <v>LOG</v>
      </c>
      <c r="E55">
        <f t="shared" si="3"/>
        <v>3324</v>
      </c>
      <c r="F55" t="str">
        <f t="shared" si="1"/>
        <v>LOG3324</v>
      </c>
      <c r="G55" t="s">
        <v>1266</v>
      </c>
    </row>
    <row r="56" spans="1:7">
      <c r="A56" s="10">
        <f t="shared" si="2"/>
        <v>4213</v>
      </c>
      <c r="B56" s="10" t="s">
        <v>28</v>
      </c>
      <c r="C56" t="s">
        <v>620</v>
      </c>
      <c r="D56" t="str">
        <f t="shared" si="0"/>
        <v>DOG</v>
      </c>
      <c r="E56">
        <f t="shared" si="3"/>
        <v>3386</v>
      </c>
      <c r="F56" t="str">
        <f t="shared" si="1"/>
        <v>DOG3386</v>
      </c>
      <c r="G56" t="s">
        <v>1267</v>
      </c>
    </row>
    <row r="57" spans="1:7">
      <c r="A57" s="10">
        <f t="shared" si="2"/>
        <v>4291</v>
      </c>
      <c r="B57" s="10" t="s">
        <v>29</v>
      </c>
      <c r="C57" t="s">
        <v>849</v>
      </c>
      <c r="D57" t="str">
        <f t="shared" si="0"/>
        <v>BIN</v>
      </c>
      <c r="E57">
        <f t="shared" si="3"/>
        <v>3448</v>
      </c>
      <c r="F57" t="str">
        <f t="shared" si="1"/>
        <v>BIN3448</v>
      </c>
      <c r="G57" t="s">
        <v>1268</v>
      </c>
    </row>
    <row r="58" spans="1:7">
      <c r="A58" s="10">
        <f t="shared" si="2"/>
        <v>4369</v>
      </c>
      <c r="B58" s="10" t="s">
        <v>30</v>
      </c>
      <c r="C58" t="s">
        <v>646</v>
      </c>
      <c r="D58" t="str">
        <f t="shared" si="0"/>
        <v>ICE</v>
      </c>
      <c r="E58">
        <f t="shared" si="3"/>
        <v>3510</v>
      </c>
      <c r="F58" t="str">
        <f t="shared" si="1"/>
        <v>ICE3510</v>
      </c>
      <c r="G58" t="s">
        <v>1269</v>
      </c>
    </row>
    <row r="59" spans="1:7">
      <c r="A59" s="10">
        <f t="shared" si="2"/>
        <v>4447</v>
      </c>
      <c r="B59" s="10" t="s">
        <v>31</v>
      </c>
      <c r="C59" t="s">
        <v>612</v>
      </c>
      <c r="D59" t="str">
        <f t="shared" si="0"/>
        <v>AGE</v>
      </c>
      <c r="E59">
        <f t="shared" si="3"/>
        <v>3572</v>
      </c>
      <c r="F59" t="str">
        <f t="shared" si="1"/>
        <v>AGE3572</v>
      </c>
      <c r="G59" t="s">
        <v>1270</v>
      </c>
    </row>
    <row r="60" spans="1:7">
      <c r="A60" s="10">
        <f t="shared" si="2"/>
        <v>4525</v>
      </c>
      <c r="B60" s="10" t="s">
        <v>32</v>
      </c>
      <c r="C60" t="s">
        <v>583</v>
      </c>
      <c r="D60" t="str">
        <f t="shared" si="0"/>
        <v>DRY</v>
      </c>
      <c r="E60">
        <f t="shared" si="3"/>
        <v>3634</v>
      </c>
      <c r="F60" t="str">
        <f t="shared" si="1"/>
        <v>DRY3634</v>
      </c>
      <c r="G60" t="s">
        <v>1271</v>
      </c>
    </row>
    <row r="61" spans="1:7">
      <c r="A61" s="10">
        <f t="shared" si="2"/>
        <v>4603</v>
      </c>
      <c r="B61" s="10" t="s">
        <v>33</v>
      </c>
      <c r="C61" t="s">
        <v>1004</v>
      </c>
      <c r="D61" t="str">
        <f t="shared" si="0"/>
        <v>BAD</v>
      </c>
      <c r="E61">
        <f t="shared" si="3"/>
        <v>3696</v>
      </c>
      <c r="F61" t="str">
        <f t="shared" si="1"/>
        <v>BAD3696</v>
      </c>
      <c r="G61" t="s">
        <v>1272</v>
      </c>
    </row>
    <row r="62" spans="1:7">
      <c r="A62" s="10">
        <f t="shared" si="2"/>
        <v>4681</v>
      </c>
      <c r="B62" t="s">
        <v>1213</v>
      </c>
      <c r="C62" t="s">
        <v>885</v>
      </c>
      <c r="D62" t="str">
        <f t="shared" si="0"/>
        <v>BOY</v>
      </c>
      <c r="E62">
        <f t="shared" si="3"/>
        <v>3758</v>
      </c>
      <c r="F62" t="str">
        <f t="shared" si="1"/>
        <v>BOY3758</v>
      </c>
      <c r="G62" t="s">
        <v>1273</v>
      </c>
    </row>
    <row r="63" spans="1:7">
      <c r="A63" s="10">
        <f t="shared" si="2"/>
        <v>4759</v>
      </c>
      <c r="B63" t="s">
        <v>1214</v>
      </c>
      <c r="C63" t="s">
        <v>1001</v>
      </c>
      <c r="D63" t="str">
        <f t="shared" si="0"/>
        <v>RUN</v>
      </c>
      <c r="E63">
        <f t="shared" si="3"/>
        <v>3820</v>
      </c>
      <c r="F63" t="str">
        <f t="shared" si="1"/>
        <v>RUN3820</v>
      </c>
      <c r="G63" t="s">
        <v>1274</v>
      </c>
    </row>
    <row r="64" spans="1:7">
      <c r="A64" s="10">
        <f t="shared" si="2"/>
        <v>4837</v>
      </c>
      <c r="B64" t="s">
        <v>1215</v>
      </c>
      <c r="C64" t="s">
        <v>995</v>
      </c>
      <c r="D64" t="str">
        <f t="shared" si="0"/>
        <v>RUB</v>
      </c>
      <c r="E64">
        <f t="shared" si="3"/>
        <v>3882</v>
      </c>
      <c r="F64" t="str">
        <f t="shared" si="1"/>
        <v>RUB3882</v>
      </c>
      <c r="G64" t="s">
        <v>1275</v>
      </c>
    </row>
    <row r="65" spans="1:7">
      <c r="A65" s="10">
        <f t="shared" si="2"/>
        <v>4915</v>
      </c>
      <c r="B65" t="s">
        <v>1216</v>
      </c>
      <c r="C65" t="s">
        <v>587</v>
      </c>
      <c r="D65" t="str">
        <f t="shared" si="0"/>
        <v>FAT</v>
      </c>
      <c r="E65">
        <f t="shared" si="3"/>
        <v>3944</v>
      </c>
      <c r="F65" t="str">
        <f t="shared" si="1"/>
        <v>FAT3944</v>
      </c>
      <c r="G65" t="s">
        <v>1276</v>
      </c>
    </row>
    <row r="66" spans="1:7">
      <c r="A66" s="10">
        <f t="shared" si="2"/>
        <v>4993</v>
      </c>
      <c r="B66" t="s">
        <v>1217</v>
      </c>
      <c r="C66" t="s">
        <v>847</v>
      </c>
      <c r="D66" t="str">
        <f t="shared" si="0"/>
        <v>LIE</v>
      </c>
      <c r="E66">
        <f t="shared" si="3"/>
        <v>4006</v>
      </c>
      <c r="F66" t="str">
        <f t="shared" si="1"/>
        <v>LIE4006</v>
      </c>
      <c r="G66" t="s">
        <v>1277</v>
      </c>
    </row>
    <row r="67" spans="1:7">
      <c r="A67" s="10">
        <f t="shared" si="2"/>
        <v>5071</v>
      </c>
      <c r="B67" t="s">
        <v>1218</v>
      </c>
      <c r="C67" t="s">
        <v>606</v>
      </c>
      <c r="D67" t="str">
        <f t="shared" ref="D67:D130" si="4">UPPER(C67)</f>
        <v>CUP</v>
      </c>
      <c r="E67">
        <f t="shared" si="3"/>
        <v>4068</v>
      </c>
      <c r="F67" t="str">
        <f t="shared" ref="F67:F130" si="5">CONCATENATE(D67,E67)</f>
        <v>CUP4068</v>
      </c>
      <c r="G67" t="s">
        <v>1278</v>
      </c>
    </row>
    <row r="68" spans="1:7">
      <c r="A68" s="10">
        <f t="shared" ref="A68:A131" si="6">A67+78</f>
        <v>5149</v>
      </c>
      <c r="B68" t="s">
        <v>1219</v>
      </c>
      <c r="C68" t="s">
        <v>640</v>
      </c>
      <c r="D68" t="str">
        <f t="shared" si="4"/>
        <v>SEE</v>
      </c>
      <c r="E68">
        <f t="shared" ref="E68:E131" si="7">E67+62</f>
        <v>4130</v>
      </c>
      <c r="F68" t="str">
        <f t="shared" si="5"/>
        <v>SEE4130</v>
      </c>
      <c r="G68" t="s">
        <v>1279</v>
      </c>
    </row>
    <row r="69" spans="1:7">
      <c r="A69" s="10">
        <f t="shared" si="6"/>
        <v>5227</v>
      </c>
      <c r="B69" t="s">
        <v>1220</v>
      </c>
      <c r="C69" t="s">
        <v>635</v>
      </c>
      <c r="D69" t="str">
        <f t="shared" si="4"/>
        <v>FEE</v>
      </c>
      <c r="E69">
        <f t="shared" si="7"/>
        <v>4192</v>
      </c>
      <c r="F69" t="str">
        <f t="shared" si="5"/>
        <v>FEE4192</v>
      </c>
      <c r="G69" t="s">
        <v>1280</v>
      </c>
    </row>
    <row r="70" spans="1:7">
      <c r="A70" s="10">
        <f t="shared" si="6"/>
        <v>5305</v>
      </c>
      <c r="B70" t="s">
        <v>1221</v>
      </c>
      <c r="C70" t="s">
        <v>639</v>
      </c>
      <c r="D70" t="str">
        <f t="shared" si="4"/>
        <v>BEG</v>
      </c>
      <c r="E70">
        <f t="shared" si="7"/>
        <v>4254</v>
      </c>
      <c r="F70" t="str">
        <f t="shared" si="5"/>
        <v>BEG4254</v>
      </c>
      <c r="G70" t="s">
        <v>1281</v>
      </c>
    </row>
    <row r="71" spans="1:7">
      <c r="A71" s="10">
        <f t="shared" si="6"/>
        <v>5383</v>
      </c>
      <c r="B71" t="s">
        <v>1222</v>
      </c>
      <c r="C71" t="s">
        <v>581</v>
      </c>
      <c r="D71" t="str">
        <f t="shared" si="4"/>
        <v>PIN</v>
      </c>
      <c r="E71">
        <f t="shared" si="7"/>
        <v>4316</v>
      </c>
      <c r="F71" t="str">
        <f t="shared" si="5"/>
        <v>PIN4316</v>
      </c>
      <c r="G71" t="s">
        <v>1282</v>
      </c>
    </row>
    <row r="72" spans="1:7">
      <c r="A72" s="10">
        <f t="shared" si="6"/>
        <v>5461</v>
      </c>
      <c r="B72" t="s">
        <v>1223</v>
      </c>
      <c r="C72" t="s">
        <v>884</v>
      </c>
      <c r="D72" t="str">
        <f t="shared" si="4"/>
        <v>POP</v>
      </c>
      <c r="E72">
        <f t="shared" si="7"/>
        <v>4378</v>
      </c>
      <c r="F72" t="str">
        <f t="shared" si="5"/>
        <v>POP4378</v>
      </c>
      <c r="G72" t="s">
        <v>1283</v>
      </c>
    </row>
    <row r="73" spans="1:7">
      <c r="A73" s="10">
        <f t="shared" si="6"/>
        <v>5539</v>
      </c>
      <c r="B73" t="s">
        <v>1224</v>
      </c>
      <c r="C73" t="s">
        <v>592</v>
      </c>
      <c r="D73" t="str">
        <f t="shared" si="4"/>
        <v>FUR</v>
      </c>
      <c r="E73">
        <f t="shared" si="7"/>
        <v>4440</v>
      </c>
      <c r="F73" t="str">
        <f t="shared" si="5"/>
        <v>FUR4440</v>
      </c>
      <c r="G73" t="s">
        <v>1284</v>
      </c>
    </row>
    <row r="74" spans="1:7">
      <c r="A74" s="10">
        <f t="shared" si="6"/>
        <v>5617</v>
      </c>
      <c r="B74" t="s">
        <v>1225</v>
      </c>
      <c r="C74" t="s">
        <v>644</v>
      </c>
      <c r="D74" t="str">
        <f t="shared" si="4"/>
        <v>TOP</v>
      </c>
      <c r="E74">
        <f t="shared" si="7"/>
        <v>4502</v>
      </c>
      <c r="F74" t="str">
        <f t="shared" si="5"/>
        <v>TOP4502</v>
      </c>
      <c r="G74" t="s">
        <v>1285</v>
      </c>
    </row>
    <row r="75" spans="1:7">
      <c r="A75" s="10">
        <f t="shared" si="6"/>
        <v>5695</v>
      </c>
      <c r="B75" t="s">
        <v>1226</v>
      </c>
      <c r="C75" t="s">
        <v>881</v>
      </c>
      <c r="D75" t="str">
        <f t="shared" si="4"/>
        <v>POT</v>
      </c>
      <c r="E75">
        <f t="shared" si="7"/>
        <v>4564</v>
      </c>
      <c r="F75" t="str">
        <f t="shared" si="5"/>
        <v>POT4564</v>
      </c>
      <c r="G75" t="s">
        <v>1286</v>
      </c>
    </row>
    <row r="76" spans="1:7">
      <c r="A76" s="10">
        <f t="shared" si="6"/>
        <v>5773</v>
      </c>
      <c r="B76" t="s">
        <v>1227</v>
      </c>
      <c r="C76" t="s">
        <v>863</v>
      </c>
      <c r="D76" t="str">
        <f t="shared" si="4"/>
        <v>RED</v>
      </c>
      <c r="E76">
        <f t="shared" si="7"/>
        <v>4626</v>
      </c>
      <c r="F76" t="str">
        <f t="shared" si="5"/>
        <v>RED4626</v>
      </c>
      <c r="G76" t="s">
        <v>1287</v>
      </c>
    </row>
    <row r="77" spans="1:7">
      <c r="A77" s="10">
        <f t="shared" si="6"/>
        <v>5851</v>
      </c>
      <c r="B77" t="s">
        <v>1228</v>
      </c>
      <c r="C77" t="s">
        <v>604</v>
      </c>
      <c r="D77" t="str">
        <f t="shared" si="4"/>
        <v>SOW</v>
      </c>
      <c r="E77">
        <f t="shared" si="7"/>
        <v>4688</v>
      </c>
      <c r="F77" t="str">
        <f t="shared" si="5"/>
        <v>SOW4688</v>
      </c>
      <c r="G77" t="s">
        <v>1288</v>
      </c>
    </row>
    <row r="78" spans="1:7">
      <c r="A78" s="10">
        <f t="shared" si="6"/>
        <v>5929</v>
      </c>
      <c r="B78" t="s">
        <v>1229</v>
      </c>
      <c r="C78" t="s">
        <v>596</v>
      </c>
      <c r="D78" t="str">
        <f t="shared" si="4"/>
        <v>HIT</v>
      </c>
      <c r="E78">
        <f t="shared" si="7"/>
        <v>4750</v>
      </c>
      <c r="F78" t="str">
        <f t="shared" si="5"/>
        <v>HIT4750</v>
      </c>
      <c r="G78" t="s">
        <v>1289</v>
      </c>
    </row>
    <row r="79" spans="1:7">
      <c r="A79" s="10">
        <f t="shared" si="6"/>
        <v>6007</v>
      </c>
      <c r="B79" t="s">
        <v>1230</v>
      </c>
      <c r="C79" t="s">
        <v>607</v>
      </c>
      <c r="D79" t="str">
        <f t="shared" si="4"/>
        <v>DUE</v>
      </c>
      <c r="E79">
        <f t="shared" si="7"/>
        <v>4812</v>
      </c>
      <c r="F79" t="str">
        <f t="shared" si="5"/>
        <v>DUE4812</v>
      </c>
      <c r="G79" t="s">
        <v>1290</v>
      </c>
    </row>
    <row r="80" spans="1:7">
      <c r="A80" s="10">
        <f t="shared" si="6"/>
        <v>6085</v>
      </c>
      <c r="B80" t="s">
        <v>1231</v>
      </c>
      <c r="C80" t="s">
        <v>602</v>
      </c>
      <c r="D80" t="str">
        <f t="shared" si="4"/>
        <v>JOY</v>
      </c>
      <c r="E80">
        <f t="shared" si="7"/>
        <v>4874</v>
      </c>
      <c r="F80" t="str">
        <f t="shared" si="5"/>
        <v>JOY4874</v>
      </c>
      <c r="G80" t="s">
        <v>1291</v>
      </c>
    </row>
    <row r="81" spans="1:7">
      <c r="A81" s="10">
        <f t="shared" si="6"/>
        <v>6163</v>
      </c>
      <c r="B81" t="s">
        <v>1232</v>
      </c>
      <c r="C81" t="s">
        <v>618</v>
      </c>
      <c r="D81" t="str">
        <f t="shared" si="4"/>
        <v>GUN</v>
      </c>
      <c r="E81">
        <f t="shared" si="7"/>
        <v>4936</v>
      </c>
      <c r="F81" t="str">
        <f t="shared" si="5"/>
        <v>GUN4936</v>
      </c>
      <c r="G81" t="s">
        <v>1292</v>
      </c>
    </row>
    <row r="82" spans="1:7">
      <c r="A82" s="10">
        <f t="shared" si="6"/>
        <v>6241</v>
      </c>
      <c r="B82" t="s">
        <v>1233</v>
      </c>
      <c r="C82" t="s">
        <v>624</v>
      </c>
      <c r="D82" t="str">
        <f t="shared" si="4"/>
        <v>WAY</v>
      </c>
      <c r="E82">
        <f t="shared" si="7"/>
        <v>4998</v>
      </c>
      <c r="F82" t="str">
        <f t="shared" si="5"/>
        <v>WAY4998</v>
      </c>
      <c r="G82" t="s">
        <v>1293</v>
      </c>
    </row>
    <row r="83" spans="1:7">
      <c r="A83" s="10">
        <f t="shared" si="6"/>
        <v>6319</v>
      </c>
      <c r="B83" t="s">
        <v>1234</v>
      </c>
      <c r="C83" t="s">
        <v>637</v>
      </c>
      <c r="D83" t="str">
        <f t="shared" si="4"/>
        <v>WIN</v>
      </c>
      <c r="E83">
        <f t="shared" si="7"/>
        <v>5060</v>
      </c>
      <c r="F83" t="str">
        <f t="shared" si="5"/>
        <v>WIN5060</v>
      </c>
      <c r="G83" t="s">
        <v>1294</v>
      </c>
    </row>
    <row r="84" spans="1:7">
      <c r="A84" s="10">
        <f t="shared" si="6"/>
        <v>6397</v>
      </c>
      <c r="B84" t="s">
        <v>1235</v>
      </c>
      <c r="C84" t="s">
        <v>856</v>
      </c>
      <c r="D84" t="str">
        <f t="shared" si="4"/>
        <v>KEY</v>
      </c>
      <c r="E84">
        <f t="shared" si="7"/>
        <v>5122</v>
      </c>
      <c r="F84" t="str">
        <f t="shared" si="5"/>
        <v>KEY5122</v>
      </c>
      <c r="G84" t="s">
        <v>1295</v>
      </c>
    </row>
    <row r="85" spans="1:7">
      <c r="A85" s="10">
        <f t="shared" si="6"/>
        <v>6475</v>
      </c>
      <c r="B85" t="s">
        <v>1236</v>
      </c>
      <c r="C85" t="s">
        <v>584</v>
      </c>
      <c r="D85" t="str">
        <f t="shared" si="4"/>
        <v>GET</v>
      </c>
      <c r="E85">
        <f t="shared" si="7"/>
        <v>5184</v>
      </c>
      <c r="F85" t="str">
        <f t="shared" si="5"/>
        <v>GET5184</v>
      </c>
      <c r="G85" t="s">
        <v>1296</v>
      </c>
    </row>
    <row r="86" spans="1:7">
      <c r="A86" s="10">
        <f t="shared" si="6"/>
        <v>6553</v>
      </c>
      <c r="B86" t="s">
        <v>1237</v>
      </c>
      <c r="C86" t="s">
        <v>859</v>
      </c>
      <c r="D86" t="str">
        <f t="shared" si="4"/>
        <v>BEE</v>
      </c>
      <c r="E86">
        <f t="shared" si="7"/>
        <v>5246</v>
      </c>
      <c r="F86" t="str">
        <f t="shared" si="5"/>
        <v>BEE5246</v>
      </c>
      <c r="G86" t="s">
        <v>1297</v>
      </c>
    </row>
    <row r="87" spans="1:7">
      <c r="A87" s="10">
        <f t="shared" si="6"/>
        <v>6631</v>
      </c>
      <c r="B87" t="s">
        <v>1238</v>
      </c>
      <c r="C87" t="s">
        <v>609</v>
      </c>
      <c r="D87" t="str">
        <f t="shared" si="4"/>
        <v>TAP</v>
      </c>
      <c r="E87">
        <f t="shared" si="7"/>
        <v>5308</v>
      </c>
      <c r="F87" t="str">
        <f t="shared" si="5"/>
        <v>TAP5308</v>
      </c>
      <c r="G87" t="s">
        <v>1298</v>
      </c>
    </row>
    <row r="88" spans="1:7">
      <c r="A88" s="10">
        <f t="shared" si="6"/>
        <v>6709</v>
      </c>
      <c r="B88" t="s">
        <v>1239</v>
      </c>
      <c r="C88" t="s">
        <v>632</v>
      </c>
      <c r="D88" t="str">
        <f t="shared" si="4"/>
        <v>SIP</v>
      </c>
      <c r="E88">
        <f t="shared" si="7"/>
        <v>5370</v>
      </c>
      <c r="F88" t="str">
        <f t="shared" si="5"/>
        <v>SIP5370</v>
      </c>
      <c r="G88" t="s">
        <v>1299</v>
      </c>
    </row>
    <row r="89" spans="1:7">
      <c r="A89" s="10">
        <f t="shared" si="6"/>
        <v>6787</v>
      </c>
      <c r="B89" t="s">
        <v>1240</v>
      </c>
      <c r="C89" t="s">
        <v>851</v>
      </c>
      <c r="D89" t="str">
        <f t="shared" si="4"/>
        <v>CAR</v>
      </c>
      <c r="E89">
        <f t="shared" si="7"/>
        <v>5432</v>
      </c>
      <c r="F89" t="str">
        <f t="shared" si="5"/>
        <v>CAR5432</v>
      </c>
      <c r="G89" t="s">
        <v>1300</v>
      </c>
    </row>
    <row r="90" spans="1:7">
      <c r="A90" s="10">
        <f t="shared" si="6"/>
        <v>6865</v>
      </c>
      <c r="B90" t="s">
        <v>1241</v>
      </c>
      <c r="C90" t="s">
        <v>1006</v>
      </c>
      <c r="D90" t="str">
        <f t="shared" si="4"/>
        <v>BED</v>
      </c>
      <c r="E90">
        <f t="shared" si="7"/>
        <v>5494</v>
      </c>
      <c r="F90" t="str">
        <f t="shared" si="5"/>
        <v>BED5494</v>
      </c>
      <c r="G90" t="s">
        <v>1301</v>
      </c>
    </row>
    <row r="91" spans="1:7">
      <c r="A91" s="10">
        <f t="shared" si="6"/>
        <v>6943</v>
      </c>
      <c r="B91" t="s">
        <v>1242</v>
      </c>
      <c r="C91" t="s">
        <v>600</v>
      </c>
      <c r="D91" t="str">
        <f t="shared" si="4"/>
        <v>VAT</v>
      </c>
      <c r="E91">
        <f t="shared" si="7"/>
        <v>5556</v>
      </c>
      <c r="F91" t="str">
        <f t="shared" si="5"/>
        <v>VAT5556</v>
      </c>
      <c r="G91" t="s">
        <v>1302</v>
      </c>
    </row>
    <row r="92" spans="1:7">
      <c r="A92" s="10">
        <f t="shared" si="6"/>
        <v>7021</v>
      </c>
      <c r="B92" t="s">
        <v>1243</v>
      </c>
      <c r="C92" t="s">
        <v>641</v>
      </c>
      <c r="D92" t="str">
        <f t="shared" si="4"/>
        <v>NUN</v>
      </c>
      <c r="E92">
        <f t="shared" si="7"/>
        <v>5618</v>
      </c>
      <c r="F92" t="str">
        <f t="shared" si="5"/>
        <v>NUN5618</v>
      </c>
      <c r="G92" t="s">
        <v>1303</v>
      </c>
    </row>
    <row r="93" spans="1:7">
      <c r="A93" s="10">
        <f t="shared" si="6"/>
        <v>7099</v>
      </c>
      <c r="B93" t="s">
        <v>1244</v>
      </c>
      <c r="C93" t="s">
        <v>634</v>
      </c>
      <c r="D93" t="str">
        <f t="shared" si="4"/>
        <v>AID</v>
      </c>
      <c r="E93">
        <f t="shared" si="7"/>
        <v>5680</v>
      </c>
      <c r="F93" t="str">
        <f t="shared" si="5"/>
        <v>AID5680</v>
      </c>
      <c r="G93" t="s">
        <v>1304</v>
      </c>
    </row>
    <row r="94" spans="1:7">
      <c r="A94" s="10">
        <f t="shared" si="6"/>
        <v>7177</v>
      </c>
      <c r="B94" t="s">
        <v>1245</v>
      </c>
      <c r="C94" t="s">
        <v>593</v>
      </c>
      <c r="D94" t="str">
        <f t="shared" si="4"/>
        <v>SEX</v>
      </c>
      <c r="E94">
        <f t="shared" si="7"/>
        <v>5742</v>
      </c>
      <c r="F94" t="str">
        <f t="shared" si="5"/>
        <v>SEX5742</v>
      </c>
      <c r="G94" t="s">
        <v>1305</v>
      </c>
    </row>
    <row r="95" spans="1:7">
      <c r="A95" s="10">
        <f t="shared" si="6"/>
        <v>7255</v>
      </c>
      <c r="B95" t="s">
        <v>1246</v>
      </c>
      <c r="C95" t="s">
        <v>645</v>
      </c>
      <c r="D95" t="str">
        <f t="shared" si="4"/>
        <v>PIE</v>
      </c>
      <c r="E95">
        <f t="shared" si="7"/>
        <v>5804</v>
      </c>
      <c r="F95" t="str">
        <f t="shared" si="5"/>
        <v>PIE5804</v>
      </c>
      <c r="G95" t="s">
        <v>1306</v>
      </c>
    </row>
    <row r="96" spans="1:7">
      <c r="A96" s="10">
        <f t="shared" si="6"/>
        <v>7333</v>
      </c>
      <c r="B96" t="s">
        <v>1247</v>
      </c>
      <c r="C96" t="s">
        <v>876</v>
      </c>
      <c r="D96" t="str">
        <f t="shared" si="4"/>
        <v>LOT</v>
      </c>
      <c r="E96">
        <f t="shared" si="7"/>
        <v>5866</v>
      </c>
      <c r="F96" t="str">
        <f t="shared" si="5"/>
        <v>LOT5866</v>
      </c>
      <c r="G96" t="s">
        <v>1307</v>
      </c>
    </row>
    <row r="97" spans="1:7">
      <c r="A97" s="10">
        <f t="shared" si="6"/>
        <v>7411</v>
      </c>
      <c r="B97" t="s">
        <v>1248</v>
      </c>
      <c r="C97" t="s">
        <v>617</v>
      </c>
      <c r="D97" t="str">
        <f t="shared" si="4"/>
        <v>FEW</v>
      </c>
      <c r="E97">
        <f t="shared" si="7"/>
        <v>5928</v>
      </c>
      <c r="F97" t="str">
        <f t="shared" si="5"/>
        <v>FEW5928</v>
      </c>
      <c r="G97" t="s">
        <v>1308</v>
      </c>
    </row>
    <row r="98" spans="1:7">
      <c r="A98" s="10">
        <f t="shared" si="6"/>
        <v>7489</v>
      </c>
      <c r="B98" t="s">
        <v>1249</v>
      </c>
      <c r="C98" t="s">
        <v>626</v>
      </c>
      <c r="D98" t="str">
        <f t="shared" si="4"/>
        <v>EAR</v>
      </c>
      <c r="E98">
        <f t="shared" si="7"/>
        <v>5990</v>
      </c>
      <c r="F98" t="str">
        <f t="shared" si="5"/>
        <v>EAR5990</v>
      </c>
      <c r="G98" t="s">
        <v>1309</v>
      </c>
    </row>
    <row r="99" spans="1:7">
      <c r="A99" s="10">
        <f t="shared" si="6"/>
        <v>7567</v>
      </c>
      <c r="B99" t="s">
        <v>1250</v>
      </c>
      <c r="C99" t="s">
        <v>1212</v>
      </c>
      <c r="D99" t="str">
        <f t="shared" si="4"/>
        <v>HIP</v>
      </c>
      <c r="E99">
        <f t="shared" si="7"/>
        <v>6052</v>
      </c>
      <c r="F99" t="str">
        <f t="shared" si="5"/>
        <v>HIP6052</v>
      </c>
      <c r="G99" t="s">
        <v>1310</v>
      </c>
    </row>
    <row r="100" spans="1:7">
      <c r="A100" s="10">
        <f t="shared" si="6"/>
        <v>7645</v>
      </c>
      <c r="B100" t="s">
        <v>1251</v>
      </c>
      <c r="C100" t="s">
        <v>610</v>
      </c>
      <c r="D100" t="str">
        <f t="shared" si="4"/>
        <v>MAN</v>
      </c>
      <c r="E100">
        <f t="shared" si="7"/>
        <v>6114</v>
      </c>
      <c r="F100" t="str">
        <f t="shared" si="5"/>
        <v>MAN6114</v>
      </c>
      <c r="G100" t="s">
        <v>1311</v>
      </c>
    </row>
    <row r="101" spans="1:7">
      <c r="A101" s="10">
        <f t="shared" si="6"/>
        <v>7723</v>
      </c>
      <c r="B101" t="s">
        <v>1252</v>
      </c>
      <c r="C101" t="s">
        <v>577</v>
      </c>
      <c r="D101" t="str">
        <f t="shared" si="4"/>
        <v>GOD</v>
      </c>
      <c r="E101">
        <f t="shared" si="7"/>
        <v>6176</v>
      </c>
      <c r="F101" t="str">
        <f t="shared" si="5"/>
        <v>GOD6176</v>
      </c>
      <c r="G101" t="s">
        <v>1312</v>
      </c>
    </row>
    <row r="102" spans="1:7">
      <c r="A102" s="10">
        <f t="shared" si="6"/>
        <v>7801</v>
      </c>
      <c r="B102" t="s">
        <v>1253</v>
      </c>
      <c r="C102" t="s">
        <v>1210</v>
      </c>
      <c r="D102" t="str">
        <f t="shared" si="4"/>
        <v>VAN</v>
      </c>
      <c r="E102">
        <f t="shared" si="7"/>
        <v>6238</v>
      </c>
      <c r="F102" t="str">
        <f t="shared" si="5"/>
        <v>VAN6238</v>
      </c>
      <c r="G102" t="s">
        <v>1313</v>
      </c>
    </row>
    <row r="103" spans="1:7">
      <c r="A103" s="10">
        <f t="shared" si="6"/>
        <v>7879</v>
      </c>
      <c r="B103" t="s">
        <v>1254</v>
      </c>
      <c r="C103" t="s">
        <v>872</v>
      </c>
      <c r="D103" t="str">
        <f t="shared" si="4"/>
        <v>LOW</v>
      </c>
      <c r="E103">
        <f t="shared" si="7"/>
        <v>6300</v>
      </c>
      <c r="F103" t="str">
        <f t="shared" si="5"/>
        <v>LOW6300</v>
      </c>
      <c r="G103" t="s">
        <v>1314</v>
      </c>
    </row>
    <row r="104" spans="1:7">
      <c r="A104" s="10">
        <f t="shared" si="6"/>
        <v>7957</v>
      </c>
      <c r="B104" t="s">
        <v>1255</v>
      </c>
      <c r="C104" t="s">
        <v>990</v>
      </c>
      <c r="D104" t="str">
        <f t="shared" si="4"/>
        <v>MUD</v>
      </c>
      <c r="E104">
        <f t="shared" si="7"/>
        <v>6362</v>
      </c>
      <c r="F104" t="str">
        <f t="shared" si="5"/>
        <v>MUD6362</v>
      </c>
      <c r="G104" t="s">
        <v>1315</v>
      </c>
    </row>
    <row r="105" spans="1:7">
      <c r="A105" s="10">
        <f t="shared" si="6"/>
        <v>8035</v>
      </c>
      <c r="B105" t="s">
        <v>1256</v>
      </c>
      <c r="C105" t="s">
        <v>871</v>
      </c>
      <c r="D105" t="str">
        <f t="shared" si="4"/>
        <v>LOG</v>
      </c>
      <c r="E105">
        <f t="shared" si="7"/>
        <v>6424</v>
      </c>
      <c r="F105" t="str">
        <f t="shared" si="5"/>
        <v>LOG6424</v>
      </c>
      <c r="G105" t="s">
        <v>1316</v>
      </c>
    </row>
    <row r="106" spans="1:7">
      <c r="A106" s="10">
        <f t="shared" si="6"/>
        <v>8113</v>
      </c>
      <c r="B106" t="s">
        <v>1257</v>
      </c>
      <c r="C106" t="s">
        <v>620</v>
      </c>
      <c r="D106" t="str">
        <f t="shared" si="4"/>
        <v>DOG</v>
      </c>
      <c r="E106">
        <f t="shared" si="7"/>
        <v>6486</v>
      </c>
      <c r="F106" t="str">
        <f t="shared" si="5"/>
        <v>DOG6486</v>
      </c>
      <c r="G106" t="s">
        <v>1317</v>
      </c>
    </row>
    <row r="107" spans="1:7">
      <c r="A107" s="10">
        <f t="shared" si="6"/>
        <v>8191</v>
      </c>
      <c r="B107" t="s">
        <v>1258</v>
      </c>
      <c r="C107" t="s">
        <v>849</v>
      </c>
      <c r="D107" t="str">
        <f t="shared" si="4"/>
        <v>BIN</v>
      </c>
      <c r="E107">
        <f t="shared" si="7"/>
        <v>6548</v>
      </c>
      <c r="F107" t="str">
        <f t="shared" si="5"/>
        <v>BIN6548</v>
      </c>
      <c r="G107" t="s">
        <v>1318</v>
      </c>
    </row>
    <row r="108" spans="1:7">
      <c r="A108" s="10">
        <f t="shared" si="6"/>
        <v>8269</v>
      </c>
      <c r="B108" t="s">
        <v>1259</v>
      </c>
      <c r="C108" t="s">
        <v>646</v>
      </c>
      <c r="D108" t="str">
        <f t="shared" si="4"/>
        <v>ICE</v>
      </c>
      <c r="E108">
        <f t="shared" si="7"/>
        <v>6610</v>
      </c>
      <c r="F108" t="str">
        <f t="shared" si="5"/>
        <v>ICE6610</v>
      </c>
      <c r="G108" t="s">
        <v>1319</v>
      </c>
    </row>
    <row r="109" spans="1:7">
      <c r="A109" s="10">
        <f t="shared" si="6"/>
        <v>8347</v>
      </c>
      <c r="B109" t="s">
        <v>1260</v>
      </c>
      <c r="C109" t="s">
        <v>612</v>
      </c>
      <c r="D109" t="str">
        <f t="shared" si="4"/>
        <v>AGE</v>
      </c>
      <c r="E109">
        <f t="shared" si="7"/>
        <v>6672</v>
      </c>
      <c r="F109" t="str">
        <f t="shared" si="5"/>
        <v>AGE6672</v>
      </c>
      <c r="G109" t="s">
        <v>1320</v>
      </c>
    </row>
    <row r="110" spans="1:7">
      <c r="A110" s="10">
        <f t="shared" si="6"/>
        <v>8425</v>
      </c>
      <c r="B110" t="s">
        <v>1261</v>
      </c>
      <c r="C110" t="s">
        <v>583</v>
      </c>
      <c r="D110" t="str">
        <f t="shared" si="4"/>
        <v>DRY</v>
      </c>
      <c r="E110">
        <f t="shared" si="7"/>
        <v>6734</v>
      </c>
      <c r="F110" t="str">
        <f t="shared" si="5"/>
        <v>DRY6734</v>
      </c>
      <c r="G110" t="s">
        <v>1321</v>
      </c>
    </row>
    <row r="111" spans="1:7">
      <c r="A111" s="10">
        <f t="shared" si="6"/>
        <v>8503</v>
      </c>
      <c r="B111" t="s">
        <v>1262</v>
      </c>
      <c r="C111" t="s">
        <v>1004</v>
      </c>
      <c r="D111" t="str">
        <f t="shared" si="4"/>
        <v>BAD</v>
      </c>
      <c r="E111">
        <f t="shared" si="7"/>
        <v>6796</v>
      </c>
      <c r="F111" t="str">
        <f t="shared" si="5"/>
        <v>BAD6796</v>
      </c>
      <c r="G111" t="s">
        <v>1322</v>
      </c>
    </row>
    <row r="112" spans="1:7">
      <c r="A112" s="10">
        <f t="shared" si="6"/>
        <v>8581</v>
      </c>
      <c r="B112" t="s">
        <v>1263</v>
      </c>
      <c r="C112" t="s">
        <v>885</v>
      </c>
      <c r="D112" t="str">
        <f t="shared" si="4"/>
        <v>BOY</v>
      </c>
      <c r="E112">
        <f t="shared" si="7"/>
        <v>6858</v>
      </c>
      <c r="F112" t="str">
        <f t="shared" si="5"/>
        <v>BOY6858</v>
      </c>
      <c r="G112" t="s">
        <v>1323</v>
      </c>
    </row>
    <row r="113" spans="1:7">
      <c r="A113" s="10">
        <f t="shared" si="6"/>
        <v>8659</v>
      </c>
      <c r="B113" t="s">
        <v>1264</v>
      </c>
      <c r="C113" t="s">
        <v>1001</v>
      </c>
      <c r="D113" t="str">
        <f t="shared" si="4"/>
        <v>RUN</v>
      </c>
      <c r="E113">
        <f t="shared" si="7"/>
        <v>6920</v>
      </c>
      <c r="F113" t="str">
        <f t="shared" si="5"/>
        <v>RUN6920</v>
      </c>
      <c r="G113" t="s">
        <v>1324</v>
      </c>
    </row>
    <row r="114" spans="1:7">
      <c r="A114" s="10">
        <f t="shared" si="6"/>
        <v>8737</v>
      </c>
      <c r="B114" t="s">
        <v>1265</v>
      </c>
      <c r="C114" t="s">
        <v>995</v>
      </c>
      <c r="D114" t="str">
        <f t="shared" si="4"/>
        <v>RUB</v>
      </c>
      <c r="E114">
        <f t="shared" si="7"/>
        <v>6982</v>
      </c>
      <c r="F114" t="str">
        <f t="shared" si="5"/>
        <v>RUB6982</v>
      </c>
      <c r="G114" t="s">
        <v>1325</v>
      </c>
    </row>
    <row r="115" spans="1:7">
      <c r="A115" s="10">
        <f t="shared" si="6"/>
        <v>8815</v>
      </c>
      <c r="B115" t="s">
        <v>1266</v>
      </c>
      <c r="C115" t="s">
        <v>587</v>
      </c>
      <c r="D115" t="str">
        <f t="shared" si="4"/>
        <v>FAT</v>
      </c>
      <c r="E115">
        <f t="shared" si="7"/>
        <v>7044</v>
      </c>
      <c r="F115" t="str">
        <f t="shared" si="5"/>
        <v>FAT7044</v>
      </c>
      <c r="G115" t="s">
        <v>1326</v>
      </c>
    </row>
    <row r="116" spans="1:7">
      <c r="A116" s="10">
        <f t="shared" si="6"/>
        <v>8893</v>
      </c>
      <c r="B116" t="s">
        <v>1267</v>
      </c>
      <c r="C116" t="s">
        <v>847</v>
      </c>
      <c r="D116" t="str">
        <f t="shared" si="4"/>
        <v>LIE</v>
      </c>
      <c r="E116">
        <f t="shared" si="7"/>
        <v>7106</v>
      </c>
      <c r="F116" t="str">
        <f t="shared" si="5"/>
        <v>LIE7106</v>
      </c>
      <c r="G116" t="s">
        <v>1327</v>
      </c>
    </row>
    <row r="117" spans="1:7">
      <c r="A117" s="10">
        <f t="shared" si="6"/>
        <v>8971</v>
      </c>
      <c r="B117" t="s">
        <v>1268</v>
      </c>
      <c r="C117" t="s">
        <v>606</v>
      </c>
      <c r="D117" t="str">
        <f t="shared" si="4"/>
        <v>CUP</v>
      </c>
      <c r="E117">
        <f t="shared" si="7"/>
        <v>7168</v>
      </c>
      <c r="F117" t="str">
        <f t="shared" si="5"/>
        <v>CUP7168</v>
      </c>
      <c r="G117" t="s">
        <v>1328</v>
      </c>
    </row>
    <row r="118" spans="1:7">
      <c r="A118" s="10">
        <f t="shared" si="6"/>
        <v>9049</v>
      </c>
      <c r="B118" t="s">
        <v>1269</v>
      </c>
      <c r="C118" t="s">
        <v>640</v>
      </c>
      <c r="D118" t="str">
        <f t="shared" si="4"/>
        <v>SEE</v>
      </c>
      <c r="E118">
        <f t="shared" si="7"/>
        <v>7230</v>
      </c>
      <c r="F118" t="str">
        <f t="shared" si="5"/>
        <v>SEE7230</v>
      </c>
      <c r="G118" t="s">
        <v>1329</v>
      </c>
    </row>
    <row r="119" spans="1:7">
      <c r="A119" s="10">
        <f t="shared" si="6"/>
        <v>9127</v>
      </c>
      <c r="B119" t="s">
        <v>1270</v>
      </c>
      <c r="C119" t="s">
        <v>635</v>
      </c>
      <c r="D119" t="str">
        <f t="shared" si="4"/>
        <v>FEE</v>
      </c>
      <c r="E119">
        <f t="shared" si="7"/>
        <v>7292</v>
      </c>
      <c r="F119" t="str">
        <f t="shared" si="5"/>
        <v>FEE7292</v>
      </c>
      <c r="G119" t="s">
        <v>1330</v>
      </c>
    </row>
    <row r="120" spans="1:7">
      <c r="A120" s="10">
        <f t="shared" si="6"/>
        <v>9205</v>
      </c>
      <c r="B120" t="s">
        <v>1271</v>
      </c>
      <c r="C120" t="s">
        <v>639</v>
      </c>
      <c r="D120" t="str">
        <f t="shared" si="4"/>
        <v>BEG</v>
      </c>
      <c r="E120">
        <f t="shared" si="7"/>
        <v>7354</v>
      </c>
      <c r="F120" t="str">
        <f t="shared" si="5"/>
        <v>BEG7354</v>
      </c>
      <c r="G120" t="s">
        <v>1331</v>
      </c>
    </row>
    <row r="121" spans="1:7">
      <c r="A121" s="10">
        <f t="shared" si="6"/>
        <v>9283</v>
      </c>
      <c r="B121" t="s">
        <v>1272</v>
      </c>
      <c r="C121" t="s">
        <v>581</v>
      </c>
      <c r="D121" t="str">
        <f t="shared" si="4"/>
        <v>PIN</v>
      </c>
      <c r="E121">
        <f t="shared" si="7"/>
        <v>7416</v>
      </c>
      <c r="F121" t="str">
        <f t="shared" si="5"/>
        <v>PIN7416</v>
      </c>
      <c r="G121" t="s">
        <v>1332</v>
      </c>
    </row>
    <row r="122" spans="1:7">
      <c r="A122" s="10">
        <f t="shared" si="6"/>
        <v>9361</v>
      </c>
      <c r="B122" t="s">
        <v>1273</v>
      </c>
      <c r="C122" t="s">
        <v>884</v>
      </c>
      <c r="D122" t="str">
        <f t="shared" si="4"/>
        <v>POP</v>
      </c>
      <c r="E122">
        <f t="shared" si="7"/>
        <v>7478</v>
      </c>
      <c r="F122" t="str">
        <f t="shared" si="5"/>
        <v>POP7478</v>
      </c>
      <c r="G122" t="s">
        <v>1333</v>
      </c>
    </row>
    <row r="123" spans="1:7">
      <c r="A123" s="10">
        <f t="shared" si="6"/>
        <v>9439</v>
      </c>
      <c r="B123" t="s">
        <v>1274</v>
      </c>
      <c r="C123" t="s">
        <v>592</v>
      </c>
      <c r="D123" t="str">
        <f t="shared" si="4"/>
        <v>FUR</v>
      </c>
      <c r="E123">
        <f t="shared" si="7"/>
        <v>7540</v>
      </c>
      <c r="F123" t="str">
        <f t="shared" si="5"/>
        <v>FUR7540</v>
      </c>
      <c r="G123" t="s">
        <v>1334</v>
      </c>
    </row>
    <row r="124" spans="1:7">
      <c r="A124" s="10">
        <f t="shared" si="6"/>
        <v>9517</v>
      </c>
      <c r="B124" t="s">
        <v>1275</v>
      </c>
      <c r="C124" t="s">
        <v>644</v>
      </c>
      <c r="D124" t="str">
        <f t="shared" si="4"/>
        <v>TOP</v>
      </c>
      <c r="E124">
        <f t="shared" si="7"/>
        <v>7602</v>
      </c>
      <c r="F124" t="str">
        <f t="shared" si="5"/>
        <v>TOP7602</v>
      </c>
      <c r="G124" t="s">
        <v>1335</v>
      </c>
    </row>
    <row r="125" spans="1:7">
      <c r="A125" s="10">
        <f t="shared" si="6"/>
        <v>9595</v>
      </c>
      <c r="B125" t="s">
        <v>1276</v>
      </c>
      <c r="C125" t="s">
        <v>881</v>
      </c>
      <c r="D125" t="str">
        <f t="shared" si="4"/>
        <v>POT</v>
      </c>
      <c r="E125">
        <f t="shared" si="7"/>
        <v>7664</v>
      </c>
      <c r="F125" t="str">
        <f t="shared" si="5"/>
        <v>POT7664</v>
      </c>
      <c r="G125" t="s">
        <v>1336</v>
      </c>
    </row>
    <row r="126" spans="1:7">
      <c r="A126" s="10">
        <f t="shared" si="6"/>
        <v>9673</v>
      </c>
      <c r="B126" t="s">
        <v>1277</v>
      </c>
      <c r="C126" t="s">
        <v>863</v>
      </c>
      <c r="D126" t="str">
        <f t="shared" si="4"/>
        <v>RED</v>
      </c>
      <c r="E126">
        <f t="shared" si="7"/>
        <v>7726</v>
      </c>
      <c r="F126" t="str">
        <f t="shared" si="5"/>
        <v>RED7726</v>
      </c>
      <c r="G126" t="s">
        <v>1337</v>
      </c>
    </row>
    <row r="127" spans="1:7">
      <c r="A127" s="10">
        <f t="shared" si="6"/>
        <v>9751</v>
      </c>
      <c r="B127" t="s">
        <v>1278</v>
      </c>
      <c r="C127" t="s">
        <v>604</v>
      </c>
      <c r="D127" t="str">
        <f t="shared" si="4"/>
        <v>SOW</v>
      </c>
      <c r="E127">
        <f t="shared" si="7"/>
        <v>7788</v>
      </c>
      <c r="F127" t="str">
        <f t="shared" si="5"/>
        <v>SOW7788</v>
      </c>
      <c r="G127" t="s">
        <v>1338</v>
      </c>
    </row>
    <row r="128" spans="1:7">
      <c r="A128" s="10">
        <f t="shared" si="6"/>
        <v>9829</v>
      </c>
      <c r="B128" t="s">
        <v>1279</v>
      </c>
      <c r="C128" t="s">
        <v>596</v>
      </c>
      <c r="D128" t="str">
        <f t="shared" si="4"/>
        <v>HIT</v>
      </c>
      <c r="E128">
        <f t="shared" si="7"/>
        <v>7850</v>
      </c>
      <c r="F128" t="str">
        <f t="shared" si="5"/>
        <v>HIT7850</v>
      </c>
      <c r="G128" t="s">
        <v>1339</v>
      </c>
    </row>
    <row r="129" spans="1:7">
      <c r="A129" s="10">
        <f t="shared" si="6"/>
        <v>9907</v>
      </c>
      <c r="B129" t="s">
        <v>1280</v>
      </c>
      <c r="C129" t="s">
        <v>607</v>
      </c>
      <c r="D129" t="str">
        <f t="shared" si="4"/>
        <v>DUE</v>
      </c>
      <c r="E129">
        <f t="shared" si="7"/>
        <v>7912</v>
      </c>
      <c r="F129" t="str">
        <f t="shared" si="5"/>
        <v>DUE7912</v>
      </c>
      <c r="G129" t="s">
        <v>1340</v>
      </c>
    </row>
    <row r="130" spans="1:7">
      <c r="A130" s="10">
        <f t="shared" si="6"/>
        <v>9985</v>
      </c>
      <c r="B130" t="s">
        <v>1281</v>
      </c>
      <c r="C130" t="s">
        <v>602</v>
      </c>
      <c r="D130" t="str">
        <f t="shared" si="4"/>
        <v>JOY</v>
      </c>
      <c r="E130">
        <f t="shared" si="7"/>
        <v>7974</v>
      </c>
      <c r="F130" t="str">
        <f t="shared" si="5"/>
        <v>JOY7974</v>
      </c>
      <c r="G130" t="s">
        <v>1341</v>
      </c>
    </row>
    <row r="131" spans="1:7">
      <c r="A131" s="10">
        <f t="shared" si="6"/>
        <v>10063</v>
      </c>
      <c r="B131" t="s">
        <v>1282</v>
      </c>
      <c r="C131" t="s">
        <v>618</v>
      </c>
      <c r="D131" t="str">
        <f t="shared" ref="D131:D151" si="8">UPPER(C131)</f>
        <v>GUN</v>
      </c>
      <c r="E131">
        <f t="shared" si="7"/>
        <v>8036</v>
      </c>
      <c r="F131" t="str">
        <f t="shared" ref="F131:F151" si="9">CONCATENATE(D131,E131)</f>
        <v>GUN8036</v>
      </c>
      <c r="G131" t="s">
        <v>1342</v>
      </c>
    </row>
    <row r="132" spans="1:7">
      <c r="A132" s="10">
        <f t="shared" ref="A132:A195" si="10">A131+78</f>
        <v>10141</v>
      </c>
      <c r="B132" t="s">
        <v>1283</v>
      </c>
      <c r="C132" t="s">
        <v>624</v>
      </c>
      <c r="D132" t="str">
        <f t="shared" si="8"/>
        <v>WAY</v>
      </c>
      <c r="E132">
        <f t="shared" ref="E132:E151" si="11">E131+62</f>
        <v>8098</v>
      </c>
      <c r="F132" t="str">
        <f t="shared" si="9"/>
        <v>WAY8098</v>
      </c>
      <c r="G132" t="s">
        <v>1343</v>
      </c>
    </row>
    <row r="133" spans="1:7">
      <c r="A133" s="10">
        <f t="shared" si="10"/>
        <v>10219</v>
      </c>
      <c r="B133" t="s">
        <v>1284</v>
      </c>
      <c r="C133" t="s">
        <v>637</v>
      </c>
      <c r="D133" t="str">
        <f t="shared" si="8"/>
        <v>WIN</v>
      </c>
      <c r="E133">
        <f t="shared" si="11"/>
        <v>8160</v>
      </c>
      <c r="F133" t="str">
        <f t="shared" si="9"/>
        <v>WIN8160</v>
      </c>
      <c r="G133" t="s">
        <v>1344</v>
      </c>
    </row>
    <row r="134" spans="1:7">
      <c r="A134" s="10">
        <f t="shared" si="10"/>
        <v>10297</v>
      </c>
      <c r="B134" t="s">
        <v>1285</v>
      </c>
      <c r="C134" t="s">
        <v>856</v>
      </c>
      <c r="D134" t="str">
        <f t="shared" si="8"/>
        <v>KEY</v>
      </c>
      <c r="E134">
        <f t="shared" si="11"/>
        <v>8222</v>
      </c>
      <c r="F134" t="str">
        <f t="shared" si="9"/>
        <v>KEY8222</v>
      </c>
      <c r="G134" t="s">
        <v>1345</v>
      </c>
    </row>
    <row r="135" spans="1:7">
      <c r="A135" s="10">
        <f t="shared" si="10"/>
        <v>10375</v>
      </c>
      <c r="B135" t="s">
        <v>1286</v>
      </c>
      <c r="C135" t="s">
        <v>584</v>
      </c>
      <c r="D135" t="str">
        <f t="shared" si="8"/>
        <v>GET</v>
      </c>
      <c r="E135">
        <f t="shared" si="11"/>
        <v>8284</v>
      </c>
      <c r="F135" t="str">
        <f t="shared" si="9"/>
        <v>GET8284</v>
      </c>
      <c r="G135" t="s">
        <v>1346</v>
      </c>
    </row>
    <row r="136" spans="1:7">
      <c r="A136" s="10">
        <f t="shared" si="10"/>
        <v>10453</v>
      </c>
      <c r="B136" t="s">
        <v>1287</v>
      </c>
      <c r="C136" t="s">
        <v>859</v>
      </c>
      <c r="D136" t="str">
        <f t="shared" si="8"/>
        <v>BEE</v>
      </c>
      <c r="E136">
        <f t="shared" si="11"/>
        <v>8346</v>
      </c>
      <c r="F136" t="str">
        <f t="shared" si="9"/>
        <v>BEE8346</v>
      </c>
      <c r="G136" t="s">
        <v>1347</v>
      </c>
    </row>
    <row r="137" spans="1:7">
      <c r="A137" s="10">
        <f t="shared" si="10"/>
        <v>10531</v>
      </c>
      <c r="B137" t="s">
        <v>1288</v>
      </c>
      <c r="C137" t="s">
        <v>609</v>
      </c>
      <c r="D137" t="str">
        <f t="shared" si="8"/>
        <v>TAP</v>
      </c>
      <c r="E137">
        <f t="shared" si="11"/>
        <v>8408</v>
      </c>
      <c r="F137" t="str">
        <f t="shared" si="9"/>
        <v>TAP8408</v>
      </c>
      <c r="G137" t="s">
        <v>1348</v>
      </c>
    </row>
    <row r="138" spans="1:7">
      <c r="A138" s="10">
        <f t="shared" si="10"/>
        <v>10609</v>
      </c>
      <c r="B138" t="s">
        <v>1289</v>
      </c>
      <c r="C138" t="s">
        <v>632</v>
      </c>
      <c r="D138" t="str">
        <f t="shared" si="8"/>
        <v>SIP</v>
      </c>
      <c r="E138">
        <f t="shared" si="11"/>
        <v>8470</v>
      </c>
      <c r="F138" t="str">
        <f t="shared" si="9"/>
        <v>SIP8470</v>
      </c>
      <c r="G138" t="s">
        <v>1349</v>
      </c>
    </row>
    <row r="139" spans="1:7">
      <c r="A139" s="10">
        <f t="shared" si="10"/>
        <v>10687</v>
      </c>
      <c r="B139" t="s">
        <v>1290</v>
      </c>
      <c r="C139" t="s">
        <v>851</v>
      </c>
      <c r="D139" t="str">
        <f t="shared" si="8"/>
        <v>CAR</v>
      </c>
      <c r="E139">
        <f t="shared" si="11"/>
        <v>8532</v>
      </c>
      <c r="F139" t="str">
        <f t="shared" si="9"/>
        <v>CAR8532</v>
      </c>
      <c r="G139" t="s">
        <v>1350</v>
      </c>
    </row>
    <row r="140" spans="1:7">
      <c r="A140" s="10">
        <f t="shared" si="10"/>
        <v>10765</v>
      </c>
      <c r="B140" t="s">
        <v>1291</v>
      </c>
      <c r="C140" t="s">
        <v>1006</v>
      </c>
      <c r="D140" t="str">
        <f t="shared" si="8"/>
        <v>BED</v>
      </c>
      <c r="E140">
        <f t="shared" si="11"/>
        <v>8594</v>
      </c>
      <c r="F140" t="str">
        <f t="shared" si="9"/>
        <v>BED8594</v>
      </c>
      <c r="G140" t="s">
        <v>1351</v>
      </c>
    </row>
    <row r="141" spans="1:7">
      <c r="A141" s="10">
        <f t="shared" si="10"/>
        <v>10843</v>
      </c>
      <c r="B141" t="s">
        <v>1292</v>
      </c>
      <c r="C141" t="s">
        <v>600</v>
      </c>
      <c r="D141" t="str">
        <f t="shared" si="8"/>
        <v>VAT</v>
      </c>
      <c r="E141">
        <f t="shared" si="11"/>
        <v>8656</v>
      </c>
      <c r="F141" t="str">
        <f t="shared" si="9"/>
        <v>VAT8656</v>
      </c>
      <c r="G141" t="s">
        <v>1352</v>
      </c>
    </row>
    <row r="142" spans="1:7">
      <c r="A142" s="10">
        <f t="shared" si="10"/>
        <v>10921</v>
      </c>
      <c r="B142" t="s">
        <v>1293</v>
      </c>
      <c r="C142" t="s">
        <v>641</v>
      </c>
      <c r="D142" t="str">
        <f t="shared" si="8"/>
        <v>NUN</v>
      </c>
      <c r="E142">
        <f t="shared" si="11"/>
        <v>8718</v>
      </c>
      <c r="F142" t="str">
        <f t="shared" si="9"/>
        <v>NUN8718</v>
      </c>
      <c r="G142" t="s">
        <v>1353</v>
      </c>
    </row>
    <row r="143" spans="1:7">
      <c r="A143" s="10">
        <f t="shared" si="10"/>
        <v>10999</v>
      </c>
      <c r="B143" t="s">
        <v>1294</v>
      </c>
      <c r="C143" t="s">
        <v>634</v>
      </c>
      <c r="D143" t="str">
        <f t="shared" si="8"/>
        <v>AID</v>
      </c>
      <c r="E143">
        <f t="shared" si="11"/>
        <v>8780</v>
      </c>
      <c r="F143" t="str">
        <f t="shared" si="9"/>
        <v>AID8780</v>
      </c>
      <c r="G143" t="s">
        <v>1354</v>
      </c>
    </row>
    <row r="144" spans="1:7">
      <c r="A144" s="10">
        <f t="shared" si="10"/>
        <v>11077</v>
      </c>
      <c r="B144" t="s">
        <v>1295</v>
      </c>
      <c r="C144" t="s">
        <v>593</v>
      </c>
      <c r="D144" t="str">
        <f t="shared" si="8"/>
        <v>SEX</v>
      </c>
      <c r="E144">
        <f t="shared" si="11"/>
        <v>8842</v>
      </c>
      <c r="F144" t="str">
        <f t="shared" si="9"/>
        <v>SEX8842</v>
      </c>
      <c r="G144" t="s">
        <v>1355</v>
      </c>
    </row>
    <row r="145" spans="1:7">
      <c r="A145" s="10">
        <f t="shared" si="10"/>
        <v>11155</v>
      </c>
      <c r="B145" t="s">
        <v>1296</v>
      </c>
      <c r="C145" t="s">
        <v>645</v>
      </c>
      <c r="D145" t="str">
        <f t="shared" si="8"/>
        <v>PIE</v>
      </c>
      <c r="E145">
        <f t="shared" si="11"/>
        <v>8904</v>
      </c>
      <c r="F145" t="str">
        <f t="shared" si="9"/>
        <v>PIE8904</v>
      </c>
      <c r="G145" t="s">
        <v>1356</v>
      </c>
    </row>
    <row r="146" spans="1:7">
      <c r="A146" s="10">
        <f t="shared" si="10"/>
        <v>11233</v>
      </c>
      <c r="B146" t="s">
        <v>1297</v>
      </c>
      <c r="C146" t="s">
        <v>876</v>
      </c>
      <c r="D146" t="str">
        <f t="shared" si="8"/>
        <v>LOT</v>
      </c>
      <c r="E146">
        <f t="shared" si="11"/>
        <v>8966</v>
      </c>
      <c r="F146" t="str">
        <f t="shared" si="9"/>
        <v>LOT8966</v>
      </c>
      <c r="G146" t="s">
        <v>1357</v>
      </c>
    </row>
    <row r="147" spans="1:7">
      <c r="A147" s="10">
        <f t="shared" si="10"/>
        <v>11311</v>
      </c>
      <c r="B147" t="s">
        <v>1298</v>
      </c>
      <c r="C147" t="s">
        <v>617</v>
      </c>
      <c r="D147" t="str">
        <f t="shared" si="8"/>
        <v>FEW</v>
      </c>
      <c r="E147">
        <f t="shared" si="11"/>
        <v>9028</v>
      </c>
      <c r="F147" t="str">
        <f t="shared" si="9"/>
        <v>FEW9028</v>
      </c>
      <c r="G147" t="s">
        <v>1358</v>
      </c>
    </row>
    <row r="148" spans="1:7">
      <c r="A148" s="10">
        <f t="shared" si="10"/>
        <v>11389</v>
      </c>
      <c r="B148" t="s">
        <v>1299</v>
      </c>
      <c r="C148" t="s">
        <v>626</v>
      </c>
      <c r="D148" t="str">
        <f t="shared" si="8"/>
        <v>EAR</v>
      </c>
      <c r="E148">
        <f t="shared" si="11"/>
        <v>9090</v>
      </c>
      <c r="F148" t="str">
        <f t="shared" si="9"/>
        <v>EAR9090</v>
      </c>
      <c r="G148" t="s">
        <v>1359</v>
      </c>
    </row>
    <row r="149" spans="1:7">
      <c r="A149" s="10">
        <f t="shared" si="10"/>
        <v>11467</v>
      </c>
      <c r="B149" t="s">
        <v>1300</v>
      </c>
      <c r="C149" t="s">
        <v>1212</v>
      </c>
      <c r="D149" t="str">
        <f t="shared" si="8"/>
        <v>HIP</v>
      </c>
      <c r="E149">
        <f t="shared" si="11"/>
        <v>9152</v>
      </c>
      <c r="F149" t="str">
        <f t="shared" si="9"/>
        <v>HIP9152</v>
      </c>
      <c r="G149" t="s">
        <v>1360</v>
      </c>
    </row>
    <row r="150" spans="1:7">
      <c r="A150" s="10">
        <f t="shared" si="10"/>
        <v>11545</v>
      </c>
      <c r="B150" t="s">
        <v>1301</v>
      </c>
      <c r="C150" t="s">
        <v>610</v>
      </c>
      <c r="D150" t="str">
        <f t="shared" si="8"/>
        <v>MAN</v>
      </c>
      <c r="E150">
        <f t="shared" si="11"/>
        <v>9214</v>
      </c>
      <c r="F150" t="str">
        <f t="shared" si="9"/>
        <v>MAN9214</v>
      </c>
      <c r="G150" t="s">
        <v>1361</v>
      </c>
    </row>
    <row r="151" spans="1:7">
      <c r="A151" s="10">
        <f t="shared" si="10"/>
        <v>11623</v>
      </c>
      <c r="B151" t="s">
        <v>1302</v>
      </c>
      <c r="C151" t="s">
        <v>577</v>
      </c>
      <c r="D151" t="str">
        <f t="shared" si="8"/>
        <v>GOD</v>
      </c>
      <c r="E151">
        <f t="shared" si="11"/>
        <v>9276</v>
      </c>
      <c r="F151" t="str">
        <f t="shared" si="9"/>
        <v>GOD9276</v>
      </c>
      <c r="G151" t="s">
        <v>1362</v>
      </c>
    </row>
    <row r="152" spans="1:7">
      <c r="A152" s="10">
        <f t="shared" si="10"/>
        <v>11701</v>
      </c>
      <c r="B152" t="s">
        <v>1303</v>
      </c>
    </row>
    <row r="153" spans="1:7">
      <c r="A153" s="10">
        <f t="shared" si="10"/>
        <v>11779</v>
      </c>
      <c r="B153" t="s">
        <v>1304</v>
      </c>
    </row>
    <row r="154" spans="1:7">
      <c r="A154" s="10">
        <f t="shared" si="10"/>
        <v>11857</v>
      </c>
      <c r="B154" t="s">
        <v>1305</v>
      </c>
    </row>
    <row r="155" spans="1:7">
      <c r="A155" s="10">
        <f t="shared" si="10"/>
        <v>11935</v>
      </c>
      <c r="B155" t="s">
        <v>1306</v>
      </c>
    </row>
    <row r="156" spans="1:7">
      <c r="A156" s="10">
        <f t="shared" si="10"/>
        <v>12013</v>
      </c>
      <c r="B156" t="s">
        <v>1307</v>
      </c>
    </row>
    <row r="157" spans="1:7">
      <c r="A157" s="10">
        <f t="shared" si="10"/>
        <v>12091</v>
      </c>
      <c r="B157" t="s">
        <v>1308</v>
      </c>
    </row>
    <row r="158" spans="1:7">
      <c r="A158" s="10">
        <f t="shared" si="10"/>
        <v>12169</v>
      </c>
      <c r="B158" t="s">
        <v>1309</v>
      </c>
    </row>
    <row r="159" spans="1:7">
      <c r="A159" s="10">
        <f t="shared" si="10"/>
        <v>12247</v>
      </c>
      <c r="B159" t="s">
        <v>1310</v>
      </c>
    </row>
    <row r="160" spans="1:7">
      <c r="A160" s="10">
        <f t="shared" si="10"/>
        <v>12325</v>
      </c>
      <c r="B160" t="s">
        <v>1311</v>
      </c>
    </row>
    <row r="161" spans="1:2">
      <c r="A161" s="10">
        <f t="shared" si="10"/>
        <v>12403</v>
      </c>
      <c r="B161" t="s">
        <v>1312</v>
      </c>
    </row>
    <row r="162" spans="1:2">
      <c r="A162" s="10">
        <f t="shared" si="10"/>
        <v>12481</v>
      </c>
      <c r="B162" t="s">
        <v>1313</v>
      </c>
    </row>
    <row r="163" spans="1:2">
      <c r="A163" s="10">
        <f t="shared" si="10"/>
        <v>12559</v>
      </c>
      <c r="B163" t="s">
        <v>1314</v>
      </c>
    </row>
    <row r="164" spans="1:2">
      <c r="A164" s="10">
        <f t="shared" si="10"/>
        <v>12637</v>
      </c>
      <c r="B164" t="s">
        <v>1315</v>
      </c>
    </row>
    <row r="165" spans="1:2">
      <c r="A165" s="10">
        <f t="shared" si="10"/>
        <v>12715</v>
      </c>
      <c r="B165" t="s">
        <v>1316</v>
      </c>
    </row>
    <row r="166" spans="1:2">
      <c r="A166" s="10">
        <f t="shared" si="10"/>
        <v>12793</v>
      </c>
      <c r="B166" t="s">
        <v>1317</v>
      </c>
    </row>
    <row r="167" spans="1:2">
      <c r="A167" s="10">
        <f t="shared" si="10"/>
        <v>12871</v>
      </c>
      <c r="B167" t="s">
        <v>1318</v>
      </c>
    </row>
    <row r="168" spans="1:2">
      <c r="A168" s="10">
        <f t="shared" si="10"/>
        <v>12949</v>
      </c>
      <c r="B168" t="s">
        <v>1319</v>
      </c>
    </row>
    <row r="169" spans="1:2">
      <c r="A169" s="10">
        <f t="shared" si="10"/>
        <v>13027</v>
      </c>
      <c r="B169" t="s">
        <v>1320</v>
      </c>
    </row>
    <row r="170" spans="1:2">
      <c r="A170" s="10">
        <f t="shared" si="10"/>
        <v>13105</v>
      </c>
      <c r="B170" t="s">
        <v>1321</v>
      </c>
    </row>
    <row r="171" spans="1:2">
      <c r="A171" s="10">
        <f t="shared" si="10"/>
        <v>13183</v>
      </c>
      <c r="B171" t="s">
        <v>1322</v>
      </c>
    </row>
    <row r="172" spans="1:2">
      <c r="A172" s="10">
        <f t="shared" si="10"/>
        <v>13261</v>
      </c>
      <c r="B172" t="s">
        <v>1323</v>
      </c>
    </row>
    <row r="173" spans="1:2">
      <c r="A173" s="10">
        <f t="shared" si="10"/>
        <v>13339</v>
      </c>
      <c r="B173" t="s">
        <v>1324</v>
      </c>
    </row>
    <row r="174" spans="1:2">
      <c r="A174" s="10">
        <f t="shared" si="10"/>
        <v>13417</v>
      </c>
      <c r="B174" t="s">
        <v>1325</v>
      </c>
    </row>
    <row r="175" spans="1:2">
      <c r="A175" s="10">
        <f t="shared" si="10"/>
        <v>13495</v>
      </c>
      <c r="B175" t="s">
        <v>1326</v>
      </c>
    </row>
    <row r="176" spans="1:2">
      <c r="A176" s="10">
        <f t="shared" si="10"/>
        <v>13573</v>
      </c>
      <c r="B176" t="s">
        <v>1327</v>
      </c>
    </row>
    <row r="177" spans="1:2">
      <c r="A177" s="10">
        <f t="shared" si="10"/>
        <v>13651</v>
      </c>
      <c r="B177" t="s">
        <v>1328</v>
      </c>
    </row>
    <row r="178" spans="1:2">
      <c r="A178" s="10">
        <f t="shared" si="10"/>
        <v>13729</v>
      </c>
      <c r="B178" t="s">
        <v>1329</v>
      </c>
    </row>
    <row r="179" spans="1:2">
      <c r="A179" s="10">
        <f t="shared" si="10"/>
        <v>13807</v>
      </c>
      <c r="B179" t="s">
        <v>1330</v>
      </c>
    </row>
    <row r="180" spans="1:2">
      <c r="A180" s="10">
        <f t="shared" si="10"/>
        <v>13885</v>
      </c>
      <c r="B180" t="s">
        <v>1331</v>
      </c>
    </row>
    <row r="181" spans="1:2">
      <c r="A181" s="10">
        <f t="shared" si="10"/>
        <v>13963</v>
      </c>
      <c r="B181" t="s">
        <v>1332</v>
      </c>
    </row>
    <row r="182" spans="1:2">
      <c r="A182" s="10">
        <f t="shared" si="10"/>
        <v>14041</v>
      </c>
      <c r="B182" t="s">
        <v>1333</v>
      </c>
    </row>
    <row r="183" spans="1:2">
      <c r="A183" s="10">
        <f t="shared" si="10"/>
        <v>14119</v>
      </c>
      <c r="B183" t="s">
        <v>1334</v>
      </c>
    </row>
    <row r="184" spans="1:2">
      <c r="A184" s="10">
        <f t="shared" si="10"/>
        <v>14197</v>
      </c>
      <c r="B184" t="s">
        <v>1335</v>
      </c>
    </row>
    <row r="185" spans="1:2">
      <c r="A185" s="10">
        <f t="shared" si="10"/>
        <v>14275</v>
      </c>
      <c r="B185" t="s">
        <v>1336</v>
      </c>
    </row>
    <row r="186" spans="1:2">
      <c r="A186" s="10">
        <f t="shared" si="10"/>
        <v>14353</v>
      </c>
      <c r="B186" t="s">
        <v>1337</v>
      </c>
    </row>
    <row r="187" spans="1:2">
      <c r="A187" s="10">
        <f t="shared" si="10"/>
        <v>14431</v>
      </c>
      <c r="B187" t="s">
        <v>1338</v>
      </c>
    </row>
    <row r="188" spans="1:2">
      <c r="A188" s="10">
        <f t="shared" si="10"/>
        <v>14509</v>
      </c>
      <c r="B188" t="s">
        <v>1339</v>
      </c>
    </row>
    <row r="189" spans="1:2">
      <c r="A189" s="10">
        <f t="shared" si="10"/>
        <v>14587</v>
      </c>
      <c r="B189" t="s">
        <v>1340</v>
      </c>
    </row>
    <row r="190" spans="1:2">
      <c r="A190" s="10">
        <f t="shared" si="10"/>
        <v>14665</v>
      </c>
      <c r="B190" t="s">
        <v>1341</v>
      </c>
    </row>
    <row r="191" spans="1:2">
      <c r="A191" s="10">
        <f t="shared" si="10"/>
        <v>14743</v>
      </c>
      <c r="B191" t="s">
        <v>1342</v>
      </c>
    </row>
    <row r="192" spans="1:2">
      <c r="A192" s="10">
        <f t="shared" si="10"/>
        <v>14821</v>
      </c>
      <c r="B192" t="s">
        <v>1343</v>
      </c>
    </row>
    <row r="193" spans="1:2">
      <c r="A193" s="10">
        <f t="shared" si="10"/>
        <v>14899</v>
      </c>
      <c r="B193" t="s">
        <v>1344</v>
      </c>
    </row>
    <row r="194" spans="1:2">
      <c r="A194" s="10">
        <f t="shared" si="10"/>
        <v>14977</v>
      </c>
      <c r="B194" t="s">
        <v>1345</v>
      </c>
    </row>
    <row r="195" spans="1:2">
      <c r="A195" s="10">
        <f t="shared" si="10"/>
        <v>15055</v>
      </c>
      <c r="B195" t="s">
        <v>1346</v>
      </c>
    </row>
    <row r="196" spans="1:2">
      <c r="A196" s="10">
        <f t="shared" ref="A196:A201" si="12">A195+78</f>
        <v>15133</v>
      </c>
      <c r="B196" t="s">
        <v>1347</v>
      </c>
    </row>
    <row r="197" spans="1:2">
      <c r="A197" s="10">
        <f t="shared" si="12"/>
        <v>15211</v>
      </c>
      <c r="B197" t="s">
        <v>1348</v>
      </c>
    </row>
    <row r="198" spans="1:2">
      <c r="A198" s="10">
        <f t="shared" si="12"/>
        <v>15289</v>
      </c>
      <c r="B198" t="s">
        <v>1349</v>
      </c>
    </row>
    <row r="199" spans="1:2">
      <c r="A199" s="10">
        <f t="shared" si="12"/>
        <v>15367</v>
      </c>
      <c r="B199" t="s">
        <v>1350</v>
      </c>
    </row>
    <row r="200" spans="1:2">
      <c r="A200" s="10">
        <f t="shared" si="12"/>
        <v>15445</v>
      </c>
      <c r="B200" t="s">
        <v>1351</v>
      </c>
    </row>
    <row r="201" spans="1:2">
      <c r="A201" s="10">
        <f t="shared" si="12"/>
        <v>15523</v>
      </c>
      <c r="B201" t="s">
        <v>1352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AF201"/>
  <sheetViews>
    <sheetView topLeftCell="A171" zoomScale="70" zoomScaleNormal="70" zoomScaleSheetLayoutView="57" workbookViewId="0">
      <selection activeCell="K2" sqref="K2:K201"/>
    </sheetView>
  </sheetViews>
  <sheetFormatPr baseColWidth="10"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8" max="8" width="16.1406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32">
      <c r="A1" s="5" t="s">
        <v>18</v>
      </c>
      <c r="B1" s="6" t="s">
        <v>54</v>
      </c>
      <c r="C1" s="6" t="s">
        <v>35</v>
      </c>
      <c r="D1" s="6" t="s">
        <v>36</v>
      </c>
      <c r="E1" s="6" t="s">
        <v>55</v>
      </c>
      <c r="F1" s="6" t="s">
        <v>51</v>
      </c>
      <c r="G1" s="6" t="s">
        <v>53</v>
      </c>
      <c r="H1" s="6" t="s">
        <v>52</v>
      </c>
      <c r="I1" s="6" t="s">
        <v>56</v>
      </c>
      <c r="J1" s="6" t="s">
        <v>85</v>
      </c>
      <c r="K1" s="9" t="s">
        <v>72</v>
      </c>
      <c r="L1" s="15" t="s">
        <v>1615</v>
      </c>
      <c r="M1" t="s">
        <v>1616</v>
      </c>
      <c r="N1" t="s">
        <v>1617</v>
      </c>
      <c r="O1" t="s">
        <v>1618</v>
      </c>
      <c r="P1" t="s">
        <v>1619</v>
      </c>
      <c r="Q1" t="s">
        <v>1620</v>
      </c>
      <c r="R1" t="s">
        <v>1621</v>
      </c>
      <c r="S1" t="s">
        <v>1894</v>
      </c>
      <c r="T1" t="s">
        <v>1623</v>
      </c>
      <c r="U1" t="s">
        <v>1624</v>
      </c>
      <c r="V1" t="s">
        <v>1625</v>
      </c>
      <c r="X1" t="s">
        <v>1895</v>
      </c>
      <c r="AF1" t="s">
        <v>1896</v>
      </c>
    </row>
    <row r="2" spans="1:32">
      <c r="A2" s="10" t="s">
        <v>24</v>
      </c>
      <c r="B2" s="1" t="s">
        <v>37</v>
      </c>
      <c r="C2" t="s">
        <v>1563</v>
      </c>
      <c r="D2" s="1" t="str">
        <f>CONCATENATE("short","-","haul"," ","flights")</f>
        <v>short-haul flights</v>
      </c>
      <c r="E2" s="2">
        <f>DATE(2015,1,1)</f>
        <v>42005</v>
      </c>
      <c r="F2" s="28">
        <v>0</v>
      </c>
      <c r="G2" s="26"/>
      <c r="H2" s="28">
        <f>IF(D2=CONCATENATE("short","-","haul"," ","flights"),F2+"03:00:00",(IF(D2=CONCATENATE("middle","-","haul"," ","flights"),F2+"07:00:00",F2+"12:00:00")))</f>
        <v>0.125</v>
      </c>
      <c r="I2">
        <f>IF(D2=CONCATENATE("short","-","haul"," ","flights"),0,(IF(D2=CONCATENATE("middle","-","haul"," ","flights"),1,2)))</f>
        <v>0</v>
      </c>
      <c r="J2">
        <f>IF(D2=CONCATENATE("short","-","haul"," ","flights"),0,(IF(D2=CONCATENATE("middle","-","haul"," ","flights"),1,2)))</f>
        <v>0</v>
      </c>
      <c r="K2" t="s">
        <v>1363</v>
      </c>
      <c r="L2" t="s">
        <v>1621</v>
      </c>
      <c r="M2" t="s">
        <v>1622</v>
      </c>
      <c r="N2" t="s">
        <v>1623</v>
      </c>
      <c r="O2" t="s">
        <v>1624</v>
      </c>
      <c r="P2" t="s">
        <v>1625</v>
      </c>
      <c r="Q2" t="s">
        <v>1626</v>
      </c>
      <c r="R2" t="s">
        <v>1897</v>
      </c>
      <c r="S2" t="s">
        <v>1898</v>
      </c>
      <c r="T2" t="s">
        <v>1899</v>
      </c>
      <c r="U2" t="s">
        <v>1900</v>
      </c>
      <c r="V2" t="s">
        <v>1901</v>
      </c>
      <c r="X2" t="s">
        <v>1895</v>
      </c>
      <c r="AF2" t="s">
        <v>1902</v>
      </c>
    </row>
    <row r="3" spans="1:32">
      <c r="A3" s="10" t="s">
        <v>25</v>
      </c>
      <c r="B3" s="1" t="s">
        <v>37</v>
      </c>
      <c r="C3" t="s">
        <v>1564</v>
      </c>
      <c r="D3" s="1" t="str">
        <f t="shared" ref="D3:D61" si="0">CONCATENATE("short","-","haul"," ","flights")</f>
        <v>short-haul flights</v>
      </c>
      <c r="E3" s="2">
        <f>E2+20</f>
        <v>42025</v>
      </c>
      <c r="F3" s="28">
        <f>F2+"00:55:00"</f>
        <v>3.8194444444444441E-2</v>
      </c>
      <c r="G3" s="2"/>
      <c r="H3" s="28">
        <f t="shared" ref="H3:H66" si="1">IF(D3=CONCATENATE("short","-","haul"," ","flights"),F3+"03:00:00",(IF(D3=CONCATENATE("middle","-","haul"," ","flights"),F3+"07:00:00",F3+"12:00:00")))</f>
        <v>0.16319444444444445</v>
      </c>
      <c r="I3">
        <f t="shared" ref="I3:I66" si="2">IF(D3=CONCATENATE("short","-","haul"," ","flights"),0,(IF(D3=CONCATENATE("middle","-","haul"," ","flights"),1,2)))</f>
        <v>0</v>
      </c>
      <c r="J3">
        <f t="shared" ref="J3:J66" si="3">IF(D3=CONCATENATE("short","-","haul"," ","flights"),0,(IF(D3=CONCATENATE("middle","-","haul"," ","flights"),1,2)))</f>
        <v>0</v>
      </c>
      <c r="K3" t="s">
        <v>1364</v>
      </c>
      <c r="L3" t="s">
        <v>1627</v>
      </c>
      <c r="M3" t="s">
        <v>1628</v>
      </c>
      <c r="N3" t="s">
        <v>1629</v>
      </c>
      <c r="O3" t="s">
        <v>1630</v>
      </c>
      <c r="P3" t="s">
        <v>1631</v>
      </c>
      <c r="Q3" t="s">
        <v>1632</v>
      </c>
      <c r="R3" t="s">
        <v>1903</v>
      </c>
      <c r="S3" t="s">
        <v>1904</v>
      </c>
      <c r="T3" t="s">
        <v>1905</v>
      </c>
      <c r="U3" t="s">
        <v>1906</v>
      </c>
      <c r="V3" t="s">
        <v>1907</v>
      </c>
      <c r="Y3" t="s">
        <v>1908</v>
      </c>
      <c r="AD3" t="s">
        <v>1908</v>
      </c>
    </row>
    <row r="4" spans="1:32">
      <c r="A4" s="10" t="s">
        <v>26</v>
      </c>
      <c r="B4" s="1" t="s">
        <v>37</v>
      </c>
      <c r="C4" t="s">
        <v>1565</v>
      </c>
      <c r="D4" s="1" t="str">
        <f t="shared" si="0"/>
        <v>short-haul flights</v>
      </c>
      <c r="E4" s="2">
        <f t="shared" ref="E4:E67" si="4">E3+20</f>
        <v>42045</v>
      </c>
      <c r="F4" s="28">
        <f t="shared" ref="F4:F67" si="5">F3+"00:55:00"</f>
        <v>7.6388888888888881E-2</v>
      </c>
      <c r="G4" s="2"/>
      <c r="H4" s="28">
        <f t="shared" si="1"/>
        <v>0.2013888888888889</v>
      </c>
      <c r="I4">
        <f t="shared" si="2"/>
        <v>0</v>
      </c>
      <c r="J4">
        <f t="shared" si="3"/>
        <v>0</v>
      </c>
      <c r="K4" t="s">
        <v>1365</v>
      </c>
      <c r="L4" t="s">
        <v>1580</v>
      </c>
      <c r="M4" t="s">
        <v>1633</v>
      </c>
      <c r="N4" t="s">
        <v>1634</v>
      </c>
      <c r="O4" t="s">
        <v>1635</v>
      </c>
      <c r="P4" t="s">
        <v>1636</v>
      </c>
      <c r="Q4" t="s">
        <v>1620</v>
      </c>
      <c r="R4" t="s">
        <v>1909</v>
      </c>
      <c r="S4" t="s">
        <v>1904</v>
      </c>
      <c r="T4" t="s">
        <v>1910</v>
      </c>
      <c r="U4" t="s">
        <v>1911</v>
      </c>
      <c r="V4" t="s">
        <v>1912</v>
      </c>
      <c r="AD4" t="s">
        <v>1908</v>
      </c>
    </row>
    <row r="5" spans="1:32">
      <c r="A5" s="10" t="s">
        <v>27</v>
      </c>
      <c r="B5" s="1" t="s">
        <v>37</v>
      </c>
      <c r="C5" t="s">
        <v>1566</v>
      </c>
      <c r="D5" s="1" t="str">
        <f t="shared" si="0"/>
        <v>short-haul flights</v>
      </c>
      <c r="E5" s="2">
        <f t="shared" si="4"/>
        <v>42065</v>
      </c>
      <c r="F5" s="28">
        <f t="shared" si="5"/>
        <v>0.11458333333333331</v>
      </c>
      <c r="G5" s="2"/>
      <c r="H5" s="28">
        <f t="shared" si="1"/>
        <v>0.23958333333333331</v>
      </c>
      <c r="I5">
        <f t="shared" si="2"/>
        <v>0</v>
      </c>
      <c r="J5">
        <f t="shared" si="3"/>
        <v>0</v>
      </c>
      <c r="K5" t="s">
        <v>1366</v>
      </c>
      <c r="L5" t="s">
        <v>1637</v>
      </c>
      <c r="M5" t="s">
        <v>1638</v>
      </c>
      <c r="N5" t="s">
        <v>1639</v>
      </c>
      <c r="O5" t="s">
        <v>1640</v>
      </c>
      <c r="P5" t="s">
        <v>1641</v>
      </c>
      <c r="Q5" t="s">
        <v>1620</v>
      </c>
      <c r="R5" t="s">
        <v>1913</v>
      </c>
      <c r="S5" t="s">
        <v>1914</v>
      </c>
      <c r="T5" t="s">
        <v>1915</v>
      </c>
      <c r="U5" t="s">
        <v>1916</v>
      </c>
      <c r="V5" t="s">
        <v>1917</v>
      </c>
      <c r="W5" t="s">
        <v>1908</v>
      </c>
    </row>
    <row r="6" spans="1:32">
      <c r="A6" s="10" t="s">
        <v>28</v>
      </c>
      <c r="B6" s="1" t="s">
        <v>37</v>
      </c>
      <c r="C6" t="s">
        <v>1567</v>
      </c>
      <c r="D6" s="1" t="str">
        <f t="shared" si="0"/>
        <v>short-haul flights</v>
      </c>
      <c r="E6" s="2">
        <f t="shared" si="4"/>
        <v>42085</v>
      </c>
      <c r="F6" s="28">
        <f t="shared" si="5"/>
        <v>0.15277777777777776</v>
      </c>
      <c r="G6" s="2"/>
      <c r="H6" s="28">
        <f t="shared" si="1"/>
        <v>0.27777777777777779</v>
      </c>
      <c r="I6">
        <f t="shared" si="2"/>
        <v>0</v>
      </c>
      <c r="J6">
        <f t="shared" si="3"/>
        <v>0</v>
      </c>
      <c r="K6" t="s">
        <v>1367</v>
      </c>
      <c r="L6" t="s">
        <v>1642</v>
      </c>
      <c r="M6" t="s">
        <v>1643</v>
      </c>
      <c r="N6" t="s">
        <v>1644</v>
      </c>
      <c r="O6" t="s">
        <v>1645</v>
      </c>
      <c r="P6" t="s">
        <v>1646</v>
      </c>
      <c r="Q6" t="s">
        <v>1620</v>
      </c>
      <c r="R6" t="s">
        <v>1918</v>
      </c>
      <c r="S6" t="s">
        <v>1904</v>
      </c>
      <c r="T6" t="s">
        <v>1919</v>
      </c>
      <c r="U6" t="s">
        <v>1920</v>
      </c>
      <c r="V6" t="s">
        <v>1921</v>
      </c>
      <c r="X6" t="s">
        <v>1908</v>
      </c>
      <c r="AD6" t="s">
        <v>1908</v>
      </c>
      <c r="AF6" t="s">
        <v>1922</v>
      </c>
    </row>
    <row r="7" spans="1:32">
      <c r="A7" s="10" t="s">
        <v>29</v>
      </c>
      <c r="B7" s="1" t="s">
        <v>37</v>
      </c>
      <c r="C7" t="s">
        <v>1568</v>
      </c>
      <c r="D7" s="1" t="str">
        <f t="shared" si="0"/>
        <v>short-haul flights</v>
      </c>
      <c r="E7" s="2">
        <f t="shared" si="4"/>
        <v>42105</v>
      </c>
      <c r="F7" s="28">
        <f t="shared" si="5"/>
        <v>0.19097222222222221</v>
      </c>
      <c r="G7" s="2"/>
      <c r="H7" s="28">
        <f t="shared" si="1"/>
        <v>0.31597222222222221</v>
      </c>
      <c r="I7">
        <f t="shared" si="2"/>
        <v>0</v>
      </c>
      <c r="J7">
        <f t="shared" si="3"/>
        <v>0</v>
      </c>
      <c r="K7" t="s">
        <v>1368</v>
      </c>
      <c r="L7" t="s">
        <v>1647</v>
      </c>
      <c r="M7" t="s">
        <v>1648</v>
      </c>
      <c r="N7" t="s">
        <v>1649</v>
      </c>
      <c r="O7" t="s">
        <v>1650</v>
      </c>
      <c r="P7" t="s">
        <v>1651</v>
      </c>
      <c r="Q7" t="s">
        <v>1620</v>
      </c>
      <c r="R7" t="s">
        <v>1923</v>
      </c>
      <c r="S7" t="s">
        <v>1924</v>
      </c>
      <c r="T7" t="s">
        <v>1925</v>
      </c>
      <c r="U7" t="s">
        <v>1926</v>
      </c>
      <c r="V7" t="s">
        <v>1927</v>
      </c>
      <c r="X7" t="s">
        <v>1895</v>
      </c>
      <c r="AF7" t="s">
        <v>1928</v>
      </c>
    </row>
    <row r="8" spans="1:32">
      <c r="A8" s="10" t="s">
        <v>30</v>
      </c>
      <c r="B8" s="1" t="s">
        <v>37</v>
      </c>
      <c r="C8" t="s">
        <v>1569</v>
      </c>
      <c r="D8" s="1" t="str">
        <f t="shared" si="0"/>
        <v>short-haul flights</v>
      </c>
      <c r="E8" s="2">
        <f t="shared" si="4"/>
        <v>42125</v>
      </c>
      <c r="F8" s="28">
        <f t="shared" si="5"/>
        <v>0.22916666666666666</v>
      </c>
      <c r="G8" s="2"/>
      <c r="H8" s="28">
        <f t="shared" si="1"/>
        <v>0.35416666666666663</v>
      </c>
      <c r="I8">
        <f t="shared" si="2"/>
        <v>0</v>
      </c>
      <c r="J8">
        <f t="shared" si="3"/>
        <v>0</v>
      </c>
      <c r="K8" t="s">
        <v>1369</v>
      </c>
      <c r="L8" t="s">
        <v>1652</v>
      </c>
      <c r="M8" t="s">
        <v>1653</v>
      </c>
      <c r="N8" t="s">
        <v>1654</v>
      </c>
      <c r="O8" t="s">
        <v>1655</v>
      </c>
      <c r="P8" t="s">
        <v>1656</v>
      </c>
      <c r="Q8" t="s">
        <v>1657</v>
      </c>
      <c r="R8" t="s">
        <v>1929</v>
      </c>
      <c r="S8" t="s">
        <v>1930</v>
      </c>
      <c r="T8" t="s">
        <v>1931</v>
      </c>
      <c r="U8" t="s">
        <v>1932</v>
      </c>
      <c r="V8" t="s">
        <v>1933</v>
      </c>
      <c r="AA8" t="s">
        <v>1908</v>
      </c>
    </row>
    <row r="9" spans="1:32">
      <c r="A9" s="10" t="s">
        <v>31</v>
      </c>
      <c r="B9" s="1" t="s">
        <v>37</v>
      </c>
      <c r="C9" t="s">
        <v>1570</v>
      </c>
      <c r="D9" s="1" t="str">
        <f t="shared" si="0"/>
        <v>short-haul flights</v>
      </c>
      <c r="E9" s="2">
        <f t="shared" si="4"/>
        <v>42145</v>
      </c>
      <c r="F9" s="28">
        <f t="shared" si="5"/>
        <v>0.2673611111111111</v>
      </c>
      <c r="G9" s="2"/>
      <c r="H9" s="28">
        <f t="shared" si="1"/>
        <v>0.3923611111111111</v>
      </c>
      <c r="I9">
        <f t="shared" si="2"/>
        <v>0</v>
      </c>
      <c r="J9">
        <f t="shared" si="3"/>
        <v>0</v>
      </c>
      <c r="K9" t="s">
        <v>1370</v>
      </c>
      <c r="L9" t="s">
        <v>1658</v>
      </c>
      <c r="M9" t="s">
        <v>1659</v>
      </c>
      <c r="N9" t="s">
        <v>1660</v>
      </c>
      <c r="O9" t="s">
        <v>1661</v>
      </c>
      <c r="P9" t="s">
        <v>1662</v>
      </c>
      <c r="Q9" t="s">
        <v>1626</v>
      </c>
      <c r="R9" t="s">
        <v>1934</v>
      </c>
      <c r="S9" t="s">
        <v>1904</v>
      </c>
      <c r="T9" t="s">
        <v>1935</v>
      </c>
      <c r="U9" t="s">
        <v>1936</v>
      </c>
      <c r="V9" t="s">
        <v>1937</v>
      </c>
      <c r="AD9" t="s">
        <v>1908</v>
      </c>
      <c r="AF9" t="s">
        <v>1938</v>
      </c>
    </row>
    <row r="10" spans="1:32">
      <c r="A10" s="10" t="s">
        <v>32</v>
      </c>
      <c r="B10" s="1" t="s">
        <v>37</v>
      </c>
      <c r="C10" t="s">
        <v>1571</v>
      </c>
      <c r="D10" s="1" t="str">
        <f t="shared" si="0"/>
        <v>short-haul flights</v>
      </c>
      <c r="E10" s="2">
        <f t="shared" si="4"/>
        <v>42165</v>
      </c>
      <c r="F10" s="28">
        <f t="shared" si="5"/>
        <v>0.30555555555555552</v>
      </c>
      <c r="G10" s="2"/>
      <c r="H10" s="28">
        <f t="shared" si="1"/>
        <v>0.43055555555555552</v>
      </c>
      <c r="I10">
        <f t="shared" si="2"/>
        <v>0</v>
      </c>
      <c r="J10">
        <f t="shared" si="3"/>
        <v>0</v>
      </c>
      <c r="K10" t="s">
        <v>1371</v>
      </c>
      <c r="L10" t="s">
        <v>1663</v>
      </c>
      <c r="M10" t="s">
        <v>1664</v>
      </c>
      <c r="N10" t="s">
        <v>1665</v>
      </c>
      <c r="O10" t="s">
        <v>1666</v>
      </c>
      <c r="P10" t="s">
        <v>1667</v>
      </c>
      <c r="Q10" t="s">
        <v>1632</v>
      </c>
      <c r="R10" t="s">
        <v>1939</v>
      </c>
      <c r="S10" t="s">
        <v>1940</v>
      </c>
      <c r="T10" t="s">
        <v>1941</v>
      </c>
      <c r="U10" t="s">
        <v>1942</v>
      </c>
      <c r="V10" t="s">
        <v>1943</v>
      </c>
      <c r="W10" t="s">
        <v>1895</v>
      </c>
      <c r="AF10" t="s">
        <v>1829</v>
      </c>
    </row>
    <row r="11" spans="1:32">
      <c r="A11" s="10" t="s">
        <v>33</v>
      </c>
      <c r="B11" s="1" t="s">
        <v>37</v>
      </c>
      <c r="C11" t="s">
        <v>1572</v>
      </c>
      <c r="D11" s="1" t="str">
        <f t="shared" si="0"/>
        <v>short-haul flights</v>
      </c>
      <c r="E11" s="2">
        <f t="shared" si="4"/>
        <v>42185</v>
      </c>
      <c r="F11" s="28">
        <f t="shared" si="5"/>
        <v>0.34374999999999994</v>
      </c>
      <c r="G11" s="2"/>
      <c r="H11" s="28">
        <f t="shared" si="1"/>
        <v>0.46874999999999994</v>
      </c>
      <c r="I11">
        <f t="shared" si="2"/>
        <v>0</v>
      </c>
      <c r="J11">
        <f t="shared" si="3"/>
        <v>0</v>
      </c>
      <c r="K11" t="s">
        <v>1372</v>
      </c>
      <c r="L11" t="s">
        <v>1668</v>
      </c>
      <c r="M11" t="s">
        <v>1669</v>
      </c>
      <c r="N11" t="s">
        <v>1670</v>
      </c>
      <c r="O11" t="s">
        <v>1671</v>
      </c>
      <c r="P11" t="s">
        <v>1672</v>
      </c>
      <c r="Q11" t="s">
        <v>1673</v>
      </c>
      <c r="R11" t="s">
        <v>1944</v>
      </c>
      <c r="S11" t="s">
        <v>1940</v>
      </c>
      <c r="T11" t="s">
        <v>1945</v>
      </c>
      <c r="U11" t="s">
        <v>1946</v>
      </c>
      <c r="V11" t="s">
        <v>1947</v>
      </c>
      <c r="W11" t="s">
        <v>1908</v>
      </c>
      <c r="Z11" t="s">
        <v>1908</v>
      </c>
    </row>
    <row r="12" spans="1:32">
      <c r="A12" s="10" t="s">
        <v>24</v>
      </c>
      <c r="B12" s="1" t="s">
        <v>37</v>
      </c>
      <c r="C12" t="s">
        <v>1573</v>
      </c>
      <c r="D12" s="1" t="str">
        <f t="shared" si="0"/>
        <v>short-haul flights</v>
      </c>
      <c r="E12" s="2">
        <f t="shared" si="4"/>
        <v>42205</v>
      </c>
      <c r="F12" s="28">
        <f t="shared" si="5"/>
        <v>0.38194444444444436</v>
      </c>
      <c r="H12" s="28">
        <f t="shared" si="1"/>
        <v>0.50694444444444442</v>
      </c>
      <c r="I12">
        <f t="shared" si="2"/>
        <v>0</v>
      </c>
      <c r="J12">
        <f t="shared" si="3"/>
        <v>0</v>
      </c>
      <c r="K12" t="s">
        <v>1373</v>
      </c>
      <c r="L12" t="s">
        <v>1674</v>
      </c>
      <c r="M12" t="s">
        <v>1675</v>
      </c>
      <c r="N12" t="s">
        <v>1676</v>
      </c>
      <c r="O12" t="s">
        <v>1677</v>
      </c>
      <c r="P12" t="s">
        <v>1678</v>
      </c>
      <c r="Q12" t="s">
        <v>1632</v>
      </c>
      <c r="R12" t="s">
        <v>1948</v>
      </c>
      <c r="S12" t="s">
        <v>1949</v>
      </c>
      <c r="T12" t="s">
        <v>1950</v>
      </c>
      <c r="U12" t="s">
        <v>1951</v>
      </c>
      <c r="V12" t="s">
        <v>1952</v>
      </c>
      <c r="W12" t="s">
        <v>1908</v>
      </c>
    </row>
    <row r="13" spans="1:32">
      <c r="A13" s="10" t="s">
        <v>25</v>
      </c>
      <c r="B13" s="1" t="s">
        <v>37</v>
      </c>
      <c r="C13" t="s">
        <v>1574</v>
      </c>
      <c r="D13" s="1" t="str">
        <f t="shared" si="0"/>
        <v>short-haul flights</v>
      </c>
      <c r="E13" s="2">
        <f t="shared" si="4"/>
        <v>42225</v>
      </c>
      <c r="F13" s="28">
        <f t="shared" si="5"/>
        <v>0.42013888888888878</v>
      </c>
      <c r="H13" s="28">
        <f t="shared" si="1"/>
        <v>0.54513888888888884</v>
      </c>
      <c r="I13">
        <f t="shared" si="2"/>
        <v>0</v>
      </c>
      <c r="J13">
        <f t="shared" si="3"/>
        <v>0</v>
      </c>
      <c r="K13" t="s">
        <v>1374</v>
      </c>
      <c r="L13" t="s">
        <v>1679</v>
      </c>
      <c r="M13" t="s">
        <v>1680</v>
      </c>
      <c r="N13" t="s">
        <v>1681</v>
      </c>
      <c r="O13" t="s">
        <v>1682</v>
      </c>
      <c r="P13" t="s">
        <v>1683</v>
      </c>
      <c r="Q13" t="s">
        <v>1620</v>
      </c>
      <c r="R13" t="s">
        <v>1953</v>
      </c>
      <c r="S13" t="s">
        <v>1940</v>
      </c>
      <c r="T13" t="s">
        <v>1954</v>
      </c>
      <c r="U13" t="s">
        <v>1955</v>
      </c>
      <c r="V13" t="s">
        <v>1956</v>
      </c>
      <c r="W13" t="s">
        <v>1908</v>
      </c>
      <c r="Z13" t="s">
        <v>1908</v>
      </c>
    </row>
    <row r="14" spans="1:32">
      <c r="A14" s="10" t="s">
        <v>26</v>
      </c>
      <c r="B14" s="1" t="s">
        <v>37</v>
      </c>
      <c r="C14" t="s">
        <v>1575</v>
      </c>
      <c r="D14" s="1" t="str">
        <f t="shared" si="0"/>
        <v>short-haul flights</v>
      </c>
      <c r="E14" s="2">
        <f t="shared" si="4"/>
        <v>42245</v>
      </c>
      <c r="F14" s="28">
        <f t="shared" si="5"/>
        <v>0.4583333333333332</v>
      </c>
      <c r="H14" s="28">
        <f t="shared" si="1"/>
        <v>0.58333333333333326</v>
      </c>
      <c r="I14">
        <f t="shared" si="2"/>
        <v>0</v>
      </c>
      <c r="J14">
        <f t="shared" si="3"/>
        <v>0</v>
      </c>
      <c r="K14" t="s">
        <v>1375</v>
      </c>
      <c r="L14" t="s">
        <v>1684</v>
      </c>
      <c r="M14" t="s">
        <v>1685</v>
      </c>
      <c r="N14" t="s">
        <v>1686</v>
      </c>
      <c r="O14" t="s">
        <v>1687</v>
      </c>
      <c r="P14" t="s">
        <v>1688</v>
      </c>
      <c r="Q14" t="s">
        <v>1620</v>
      </c>
      <c r="R14" t="s">
        <v>1957</v>
      </c>
      <c r="S14" t="s">
        <v>1958</v>
      </c>
      <c r="T14" t="s">
        <v>1959</v>
      </c>
      <c r="U14" t="s">
        <v>1960</v>
      </c>
      <c r="V14" t="s">
        <v>1961</v>
      </c>
      <c r="W14" t="s">
        <v>1908</v>
      </c>
      <c r="Y14" t="s">
        <v>1908</v>
      </c>
      <c r="Z14" t="s">
        <v>1908</v>
      </c>
      <c r="AA14" t="s">
        <v>1908</v>
      </c>
      <c r="AC14" t="s">
        <v>1908</v>
      </c>
      <c r="AE14" t="s">
        <v>1895</v>
      </c>
      <c r="AF14" t="s">
        <v>1962</v>
      </c>
    </row>
    <row r="15" spans="1:32">
      <c r="A15" s="10" t="s">
        <v>27</v>
      </c>
      <c r="B15" s="1" t="s">
        <v>37</v>
      </c>
      <c r="C15" t="s">
        <v>1576</v>
      </c>
      <c r="D15" s="1" t="str">
        <f t="shared" si="0"/>
        <v>short-haul flights</v>
      </c>
      <c r="E15" s="2">
        <f t="shared" si="4"/>
        <v>42265</v>
      </c>
      <c r="F15" s="28">
        <f t="shared" si="5"/>
        <v>0.49652777777777762</v>
      </c>
      <c r="H15" s="28">
        <f t="shared" si="1"/>
        <v>0.62152777777777768</v>
      </c>
      <c r="I15">
        <f t="shared" si="2"/>
        <v>0</v>
      </c>
      <c r="J15">
        <f t="shared" si="3"/>
        <v>0</v>
      </c>
      <c r="K15" t="s">
        <v>1376</v>
      </c>
      <c r="L15" t="s">
        <v>1689</v>
      </c>
      <c r="M15" t="s">
        <v>1690</v>
      </c>
      <c r="N15" t="s">
        <v>1691</v>
      </c>
      <c r="O15" t="s">
        <v>1692</v>
      </c>
      <c r="P15" t="s">
        <v>1693</v>
      </c>
      <c r="Q15" t="s">
        <v>1632</v>
      </c>
      <c r="R15" t="s">
        <v>1963</v>
      </c>
      <c r="S15" t="s">
        <v>1940</v>
      </c>
      <c r="T15" t="s">
        <v>1964</v>
      </c>
      <c r="U15" t="s">
        <v>1965</v>
      </c>
      <c r="V15" t="s">
        <v>1966</v>
      </c>
      <c r="W15" t="s">
        <v>1895</v>
      </c>
      <c r="AA15" t="s">
        <v>1895</v>
      </c>
      <c r="AF15" t="s">
        <v>1967</v>
      </c>
    </row>
    <row r="16" spans="1:32">
      <c r="A16" s="10" t="s">
        <v>28</v>
      </c>
      <c r="B16" s="1" t="s">
        <v>37</v>
      </c>
      <c r="C16" t="s">
        <v>1577</v>
      </c>
      <c r="D16" s="1" t="str">
        <f t="shared" si="0"/>
        <v>short-haul flights</v>
      </c>
      <c r="E16" s="2">
        <f t="shared" si="4"/>
        <v>42285</v>
      </c>
      <c r="F16" s="28">
        <f t="shared" si="5"/>
        <v>0.5347222222222221</v>
      </c>
      <c r="H16" s="28">
        <f t="shared" si="1"/>
        <v>0.6597222222222221</v>
      </c>
      <c r="I16">
        <f t="shared" si="2"/>
        <v>0</v>
      </c>
      <c r="J16">
        <f t="shared" si="3"/>
        <v>0</v>
      </c>
      <c r="K16" t="s">
        <v>1377</v>
      </c>
      <c r="L16" t="s">
        <v>1694</v>
      </c>
      <c r="M16" t="s">
        <v>1695</v>
      </c>
      <c r="N16" t="s">
        <v>1696</v>
      </c>
      <c r="O16" t="s">
        <v>1697</v>
      </c>
      <c r="P16" t="s">
        <v>1698</v>
      </c>
      <c r="Q16" t="s">
        <v>1620</v>
      </c>
      <c r="R16" t="s">
        <v>1968</v>
      </c>
      <c r="S16" t="s">
        <v>1969</v>
      </c>
      <c r="T16" t="s">
        <v>1970</v>
      </c>
      <c r="U16" t="s">
        <v>1971</v>
      </c>
      <c r="V16" t="s">
        <v>1972</v>
      </c>
      <c r="X16" t="s">
        <v>1908</v>
      </c>
      <c r="Y16" t="s">
        <v>1908</v>
      </c>
    </row>
    <row r="17" spans="1:32">
      <c r="A17" s="10" t="s">
        <v>29</v>
      </c>
      <c r="B17" s="1" t="s">
        <v>37</v>
      </c>
      <c r="C17" t="s">
        <v>37</v>
      </c>
      <c r="D17" s="1" t="str">
        <f t="shared" si="0"/>
        <v>short-haul flights</v>
      </c>
      <c r="E17" s="2">
        <f t="shared" si="4"/>
        <v>42305</v>
      </c>
      <c r="F17" s="28">
        <f t="shared" si="5"/>
        <v>0.57291666666666652</v>
      </c>
      <c r="H17" s="28">
        <f t="shared" si="1"/>
        <v>0.69791666666666652</v>
      </c>
      <c r="I17">
        <f t="shared" si="2"/>
        <v>0</v>
      </c>
      <c r="J17">
        <f t="shared" si="3"/>
        <v>0</v>
      </c>
      <c r="K17" t="s">
        <v>1378</v>
      </c>
      <c r="L17" t="s">
        <v>1699</v>
      </c>
      <c r="M17" t="s">
        <v>1700</v>
      </c>
      <c r="N17" t="s">
        <v>1701</v>
      </c>
      <c r="O17" t="s">
        <v>1702</v>
      </c>
      <c r="P17" t="s">
        <v>1703</v>
      </c>
      <c r="Q17" t="s">
        <v>1620</v>
      </c>
      <c r="R17" t="s">
        <v>1973</v>
      </c>
      <c r="S17" t="s">
        <v>1904</v>
      </c>
      <c r="T17" t="s">
        <v>1974</v>
      </c>
      <c r="U17" t="s">
        <v>1975</v>
      </c>
      <c r="V17" t="s">
        <v>1976</v>
      </c>
      <c r="W17" t="s">
        <v>1908</v>
      </c>
      <c r="Y17" t="s">
        <v>1908</v>
      </c>
      <c r="AD17" t="s">
        <v>1908</v>
      </c>
      <c r="AF17" t="s">
        <v>1977</v>
      </c>
    </row>
    <row r="18" spans="1:32">
      <c r="A18" s="10" t="s">
        <v>30</v>
      </c>
      <c r="B18" s="1" t="s">
        <v>37</v>
      </c>
      <c r="C18" t="s">
        <v>1578</v>
      </c>
      <c r="D18" s="1" t="str">
        <f t="shared" si="0"/>
        <v>short-haul flights</v>
      </c>
      <c r="E18" s="2">
        <f t="shared" si="4"/>
        <v>42325</v>
      </c>
      <c r="F18" s="28">
        <f t="shared" si="5"/>
        <v>0.61111111111111094</v>
      </c>
      <c r="H18" s="28">
        <f t="shared" si="1"/>
        <v>0.73611111111111094</v>
      </c>
      <c r="I18">
        <f t="shared" si="2"/>
        <v>0</v>
      </c>
      <c r="J18">
        <f t="shared" si="3"/>
        <v>0</v>
      </c>
      <c r="K18" t="s">
        <v>1379</v>
      </c>
      <c r="L18" t="s">
        <v>1704</v>
      </c>
      <c r="M18" t="s">
        <v>1653</v>
      </c>
      <c r="N18" t="s">
        <v>1705</v>
      </c>
      <c r="O18" t="s">
        <v>1706</v>
      </c>
      <c r="P18" t="s">
        <v>1707</v>
      </c>
      <c r="Q18" t="s">
        <v>1620</v>
      </c>
      <c r="R18" t="s">
        <v>1978</v>
      </c>
      <c r="S18" t="s">
        <v>1904</v>
      </c>
      <c r="T18" t="s">
        <v>1979</v>
      </c>
      <c r="U18" t="s">
        <v>1980</v>
      </c>
      <c r="V18" t="s">
        <v>1981</v>
      </c>
      <c r="W18" t="s">
        <v>1908</v>
      </c>
      <c r="Y18" t="s">
        <v>1908</v>
      </c>
      <c r="AD18" t="s">
        <v>1908</v>
      </c>
      <c r="AF18" t="s">
        <v>1982</v>
      </c>
    </row>
    <row r="19" spans="1:32">
      <c r="A19" s="10" t="s">
        <v>31</v>
      </c>
      <c r="B19" s="1" t="s">
        <v>37</v>
      </c>
      <c r="C19" t="s">
        <v>1579</v>
      </c>
      <c r="D19" s="1" t="str">
        <f t="shared" si="0"/>
        <v>short-haul flights</v>
      </c>
      <c r="E19" s="2">
        <f t="shared" si="4"/>
        <v>42345</v>
      </c>
      <c r="F19" s="28">
        <f t="shared" si="5"/>
        <v>0.64930555555555536</v>
      </c>
      <c r="H19" s="28">
        <f t="shared" si="1"/>
        <v>0.77430555555555536</v>
      </c>
      <c r="I19">
        <f t="shared" si="2"/>
        <v>0</v>
      </c>
      <c r="J19">
        <f t="shared" si="3"/>
        <v>0</v>
      </c>
      <c r="K19" t="s">
        <v>1380</v>
      </c>
      <c r="L19" t="s">
        <v>1708</v>
      </c>
      <c r="M19" t="s">
        <v>1709</v>
      </c>
      <c r="N19" t="s">
        <v>1710</v>
      </c>
      <c r="O19" t="s">
        <v>1711</v>
      </c>
      <c r="P19" t="s">
        <v>1712</v>
      </c>
      <c r="Q19" t="s">
        <v>1713</v>
      </c>
      <c r="R19" t="s">
        <v>1983</v>
      </c>
      <c r="S19" t="s">
        <v>1914</v>
      </c>
      <c r="T19" t="s">
        <v>1984</v>
      </c>
      <c r="U19" t="s">
        <v>1985</v>
      </c>
      <c r="V19" t="s">
        <v>1986</v>
      </c>
      <c r="W19" t="s">
        <v>1908</v>
      </c>
    </row>
    <row r="20" spans="1:32">
      <c r="A20" s="10" t="s">
        <v>32</v>
      </c>
      <c r="B20" s="1" t="s">
        <v>37</v>
      </c>
      <c r="C20" t="s">
        <v>1580</v>
      </c>
      <c r="D20" s="1" t="str">
        <f t="shared" si="0"/>
        <v>short-haul flights</v>
      </c>
      <c r="E20" s="2">
        <f t="shared" si="4"/>
        <v>42365</v>
      </c>
      <c r="F20" s="28">
        <f t="shared" si="5"/>
        <v>0.68749999999999978</v>
      </c>
      <c r="H20" s="28">
        <f t="shared" si="1"/>
        <v>0.81249999999999978</v>
      </c>
      <c r="I20">
        <f t="shared" si="2"/>
        <v>0</v>
      </c>
      <c r="J20">
        <f t="shared" si="3"/>
        <v>0</v>
      </c>
      <c r="K20" t="s">
        <v>1381</v>
      </c>
      <c r="L20" t="s">
        <v>1714</v>
      </c>
      <c r="M20" t="s">
        <v>1653</v>
      </c>
      <c r="N20" t="s">
        <v>1715</v>
      </c>
      <c r="O20" t="s">
        <v>1716</v>
      </c>
      <c r="P20" t="s">
        <v>1717</v>
      </c>
      <c r="Q20" t="s">
        <v>1657</v>
      </c>
      <c r="R20" t="s">
        <v>1987</v>
      </c>
      <c r="S20" t="s">
        <v>1898</v>
      </c>
      <c r="T20" t="s">
        <v>1988</v>
      </c>
      <c r="U20" t="s">
        <v>1989</v>
      </c>
      <c r="V20" t="s">
        <v>1990</v>
      </c>
      <c r="AC20" t="s">
        <v>1908</v>
      </c>
    </row>
    <row r="21" spans="1:32">
      <c r="A21" s="10" t="s">
        <v>33</v>
      </c>
      <c r="B21" s="1" t="s">
        <v>37</v>
      </c>
      <c r="C21" t="s">
        <v>1581</v>
      </c>
      <c r="D21" s="1" t="str">
        <f t="shared" si="0"/>
        <v>short-haul flights</v>
      </c>
      <c r="E21" s="2">
        <f t="shared" si="4"/>
        <v>42385</v>
      </c>
      <c r="F21" s="28">
        <f t="shared" si="5"/>
        <v>0.7256944444444442</v>
      </c>
      <c r="H21" s="28">
        <f t="shared" si="1"/>
        <v>0.8506944444444442</v>
      </c>
      <c r="I21">
        <f t="shared" si="2"/>
        <v>0</v>
      </c>
      <c r="J21">
        <f t="shared" si="3"/>
        <v>0</v>
      </c>
      <c r="K21" t="s">
        <v>1382</v>
      </c>
      <c r="L21" t="s">
        <v>1718</v>
      </c>
      <c r="M21" t="s">
        <v>1719</v>
      </c>
      <c r="N21" t="s">
        <v>1720</v>
      </c>
      <c r="O21" t="s">
        <v>1721</v>
      </c>
      <c r="P21" t="s">
        <v>1722</v>
      </c>
      <c r="Q21" t="s">
        <v>1620</v>
      </c>
      <c r="R21" t="s">
        <v>1991</v>
      </c>
      <c r="S21" t="s">
        <v>1958</v>
      </c>
      <c r="T21" t="s">
        <v>1992</v>
      </c>
      <c r="U21" t="s">
        <v>1993</v>
      </c>
      <c r="V21" t="s">
        <v>1994</v>
      </c>
      <c r="Y21" t="s">
        <v>1908</v>
      </c>
    </row>
    <row r="22" spans="1:32">
      <c r="A22" s="10" t="s">
        <v>24</v>
      </c>
      <c r="B22" s="1" t="s">
        <v>37</v>
      </c>
      <c r="C22" t="s">
        <v>1582</v>
      </c>
      <c r="D22" s="1" t="str">
        <f t="shared" si="0"/>
        <v>short-haul flights</v>
      </c>
      <c r="E22" s="2">
        <f t="shared" si="4"/>
        <v>42405</v>
      </c>
      <c r="F22" s="28">
        <f t="shared" si="5"/>
        <v>0.76388888888888862</v>
      </c>
      <c r="H22" s="28">
        <f t="shared" si="1"/>
        <v>0.88888888888888862</v>
      </c>
      <c r="I22">
        <f t="shared" si="2"/>
        <v>0</v>
      </c>
      <c r="J22">
        <f t="shared" si="3"/>
        <v>0</v>
      </c>
      <c r="K22" t="s">
        <v>1383</v>
      </c>
      <c r="L22" t="s">
        <v>1723</v>
      </c>
      <c r="M22" t="s">
        <v>1724</v>
      </c>
      <c r="N22" t="s">
        <v>1725</v>
      </c>
      <c r="O22" t="s">
        <v>1726</v>
      </c>
      <c r="P22" t="s">
        <v>1727</v>
      </c>
      <c r="Q22" t="s">
        <v>1632</v>
      </c>
      <c r="R22" t="s">
        <v>1995</v>
      </c>
      <c r="S22" t="s">
        <v>1996</v>
      </c>
      <c r="T22" t="s">
        <v>1997</v>
      </c>
      <c r="U22" t="s">
        <v>1998</v>
      </c>
      <c r="V22" t="s">
        <v>1999</v>
      </c>
      <c r="X22" t="s">
        <v>1908</v>
      </c>
      <c r="AA22" t="s">
        <v>1908</v>
      </c>
      <c r="AB22" t="s">
        <v>1895</v>
      </c>
    </row>
    <row r="23" spans="1:32">
      <c r="A23" s="10" t="s">
        <v>25</v>
      </c>
      <c r="B23" s="1" t="s">
        <v>37</v>
      </c>
      <c r="C23" t="s">
        <v>1583</v>
      </c>
      <c r="D23" s="1" t="str">
        <f t="shared" si="0"/>
        <v>short-haul flights</v>
      </c>
      <c r="E23" s="2">
        <f t="shared" si="4"/>
        <v>42425</v>
      </c>
      <c r="F23" s="28">
        <f t="shared" si="5"/>
        <v>0.80208333333333304</v>
      </c>
      <c r="H23" s="28">
        <f t="shared" si="1"/>
        <v>0.92708333333333304</v>
      </c>
      <c r="I23">
        <f t="shared" si="2"/>
        <v>0</v>
      </c>
      <c r="J23">
        <f t="shared" si="3"/>
        <v>0</v>
      </c>
      <c r="K23" t="s">
        <v>1384</v>
      </c>
      <c r="L23" t="s">
        <v>1728</v>
      </c>
      <c r="M23" t="s">
        <v>1729</v>
      </c>
      <c r="N23" t="s">
        <v>1730</v>
      </c>
      <c r="O23" t="s">
        <v>1731</v>
      </c>
      <c r="P23" t="s">
        <v>1732</v>
      </c>
      <c r="Q23" t="s">
        <v>1632</v>
      </c>
      <c r="R23" t="s">
        <v>2000</v>
      </c>
      <c r="S23" t="s">
        <v>1930</v>
      </c>
      <c r="T23" t="s">
        <v>2001</v>
      </c>
      <c r="U23" t="s">
        <v>2002</v>
      </c>
      <c r="V23" t="s">
        <v>2003</v>
      </c>
      <c r="AA23" t="s">
        <v>1908</v>
      </c>
    </row>
    <row r="24" spans="1:32">
      <c r="A24" s="10" t="s">
        <v>26</v>
      </c>
      <c r="B24" s="1" t="s">
        <v>37</v>
      </c>
      <c r="C24" t="s">
        <v>1584</v>
      </c>
      <c r="D24" s="1" t="str">
        <f t="shared" si="0"/>
        <v>short-haul flights</v>
      </c>
      <c r="E24" s="2">
        <f t="shared" si="4"/>
        <v>42445</v>
      </c>
      <c r="F24" s="28">
        <f t="shared" si="5"/>
        <v>0.84027777777777746</v>
      </c>
      <c r="H24" s="28">
        <f t="shared" si="1"/>
        <v>0.96527777777777746</v>
      </c>
      <c r="I24">
        <f t="shared" si="2"/>
        <v>0</v>
      </c>
      <c r="J24">
        <f t="shared" si="3"/>
        <v>0</v>
      </c>
      <c r="K24" t="s">
        <v>1385</v>
      </c>
      <c r="L24" t="s">
        <v>1733</v>
      </c>
      <c r="M24" t="s">
        <v>1734</v>
      </c>
      <c r="N24" t="s">
        <v>1735</v>
      </c>
      <c r="O24" t="s">
        <v>1736</v>
      </c>
      <c r="P24" t="s">
        <v>1737</v>
      </c>
      <c r="Q24" t="s">
        <v>1632</v>
      </c>
      <c r="R24" t="s">
        <v>2004</v>
      </c>
      <c r="S24" t="s">
        <v>2005</v>
      </c>
      <c r="T24" t="s">
        <v>2006</v>
      </c>
      <c r="U24" t="s">
        <v>2007</v>
      </c>
      <c r="V24" t="s">
        <v>2008</v>
      </c>
      <c r="W24" t="s">
        <v>1908</v>
      </c>
      <c r="Y24" t="s">
        <v>1908</v>
      </c>
    </row>
    <row r="25" spans="1:32">
      <c r="A25" s="10" t="s">
        <v>27</v>
      </c>
      <c r="B25" s="1" t="s">
        <v>37</v>
      </c>
      <c r="C25" t="s">
        <v>1585</v>
      </c>
      <c r="D25" s="1" t="str">
        <f t="shared" si="0"/>
        <v>short-haul flights</v>
      </c>
      <c r="E25" s="2">
        <f t="shared" si="4"/>
        <v>42465</v>
      </c>
      <c r="F25" s="28">
        <f t="shared" si="5"/>
        <v>0.87847222222222188</v>
      </c>
      <c r="H25" s="28">
        <f t="shared" si="1"/>
        <v>1.0034722222222219</v>
      </c>
      <c r="I25">
        <f t="shared" si="2"/>
        <v>0</v>
      </c>
      <c r="J25">
        <f t="shared" si="3"/>
        <v>0</v>
      </c>
      <c r="K25" t="s">
        <v>1386</v>
      </c>
      <c r="L25" t="s">
        <v>1738</v>
      </c>
      <c r="M25" t="s">
        <v>1739</v>
      </c>
      <c r="N25" t="s">
        <v>1740</v>
      </c>
      <c r="O25" t="s">
        <v>1741</v>
      </c>
      <c r="P25" t="s">
        <v>1742</v>
      </c>
      <c r="Q25" t="s">
        <v>1632</v>
      </c>
      <c r="R25" t="s">
        <v>2009</v>
      </c>
      <c r="S25" t="s">
        <v>1930</v>
      </c>
      <c r="T25" t="s">
        <v>2010</v>
      </c>
      <c r="U25" t="s">
        <v>2011</v>
      </c>
      <c r="V25" t="s">
        <v>2012</v>
      </c>
      <c r="AA25" t="s">
        <v>1908</v>
      </c>
    </row>
    <row r="26" spans="1:32">
      <c r="A26" s="10" t="s">
        <v>28</v>
      </c>
      <c r="B26" s="1" t="s">
        <v>37</v>
      </c>
      <c r="C26" t="s">
        <v>1586</v>
      </c>
      <c r="D26" s="1" t="str">
        <f t="shared" si="0"/>
        <v>short-haul flights</v>
      </c>
      <c r="E26" s="2">
        <f t="shared" si="4"/>
        <v>42485</v>
      </c>
      <c r="F26" s="28">
        <f t="shared" si="5"/>
        <v>0.9166666666666663</v>
      </c>
      <c r="H26" s="28">
        <f t="shared" si="1"/>
        <v>1.0416666666666663</v>
      </c>
      <c r="I26">
        <f t="shared" si="2"/>
        <v>0</v>
      </c>
      <c r="J26">
        <f t="shared" si="3"/>
        <v>0</v>
      </c>
      <c r="K26" t="s">
        <v>1387</v>
      </c>
      <c r="L26" t="s">
        <v>1743</v>
      </c>
      <c r="M26" t="s">
        <v>1734</v>
      </c>
      <c r="N26" t="s">
        <v>1744</v>
      </c>
      <c r="O26" t="s">
        <v>1745</v>
      </c>
      <c r="P26" t="s">
        <v>1746</v>
      </c>
      <c r="Q26" t="s">
        <v>1632</v>
      </c>
      <c r="R26" t="s">
        <v>2013</v>
      </c>
      <c r="S26" t="s">
        <v>1930</v>
      </c>
      <c r="T26" t="s">
        <v>2014</v>
      </c>
      <c r="U26" t="s">
        <v>2015</v>
      </c>
      <c r="V26" t="s">
        <v>2016</v>
      </c>
      <c r="W26" t="s">
        <v>1895</v>
      </c>
      <c r="Y26" t="s">
        <v>1908</v>
      </c>
      <c r="AA26" t="s">
        <v>1908</v>
      </c>
      <c r="AF26" t="s">
        <v>2017</v>
      </c>
    </row>
    <row r="27" spans="1:32">
      <c r="A27" s="10" t="s">
        <v>29</v>
      </c>
      <c r="B27" s="1" t="s">
        <v>37</v>
      </c>
      <c r="C27" t="s">
        <v>1587</v>
      </c>
      <c r="D27" s="1" t="str">
        <f t="shared" si="0"/>
        <v>short-haul flights</v>
      </c>
      <c r="E27" s="2">
        <f t="shared" si="4"/>
        <v>42505</v>
      </c>
      <c r="F27" s="28">
        <f t="shared" si="5"/>
        <v>0.95486111111111072</v>
      </c>
      <c r="H27" s="28">
        <f t="shared" si="1"/>
        <v>1.0798611111111107</v>
      </c>
      <c r="I27">
        <f t="shared" si="2"/>
        <v>0</v>
      </c>
      <c r="J27">
        <f t="shared" si="3"/>
        <v>0</v>
      </c>
      <c r="K27" t="s">
        <v>1388</v>
      </c>
      <c r="L27" t="s">
        <v>1747</v>
      </c>
      <c r="M27" t="s">
        <v>1748</v>
      </c>
      <c r="N27" t="s">
        <v>1749</v>
      </c>
      <c r="O27" t="s">
        <v>1750</v>
      </c>
      <c r="P27" t="s">
        <v>1751</v>
      </c>
      <c r="Q27" t="s">
        <v>1752</v>
      </c>
      <c r="R27" t="s">
        <v>2018</v>
      </c>
      <c r="S27" t="s">
        <v>1904</v>
      </c>
      <c r="T27" t="s">
        <v>2019</v>
      </c>
      <c r="U27" t="s">
        <v>2020</v>
      </c>
      <c r="V27" t="s">
        <v>2021</v>
      </c>
      <c r="AD27" t="s">
        <v>1908</v>
      </c>
      <c r="AF27" t="s">
        <v>2022</v>
      </c>
    </row>
    <row r="28" spans="1:32">
      <c r="A28" s="10" t="s">
        <v>30</v>
      </c>
      <c r="B28" s="1" t="s">
        <v>37</v>
      </c>
      <c r="C28" t="s">
        <v>1588</v>
      </c>
      <c r="D28" s="1" t="str">
        <f t="shared" si="0"/>
        <v>short-haul flights</v>
      </c>
      <c r="E28" s="2">
        <f t="shared" si="4"/>
        <v>42525</v>
      </c>
      <c r="F28" s="28">
        <f t="shared" si="5"/>
        <v>0.99305555555555514</v>
      </c>
      <c r="H28" s="28">
        <f t="shared" si="1"/>
        <v>1.1180555555555551</v>
      </c>
      <c r="I28">
        <f t="shared" si="2"/>
        <v>0</v>
      </c>
      <c r="J28">
        <f t="shared" si="3"/>
        <v>0</v>
      </c>
      <c r="K28" t="s">
        <v>1389</v>
      </c>
      <c r="L28" t="s">
        <v>1753</v>
      </c>
      <c r="M28" t="s">
        <v>1754</v>
      </c>
      <c r="N28" t="s">
        <v>1755</v>
      </c>
      <c r="O28" t="s">
        <v>1756</v>
      </c>
      <c r="P28" t="s">
        <v>1757</v>
      </c>
      <c r="Q28" t="s">
        <v>1620</v>
      </c>
      <c r="R28" t="s">
        <v>2023</v>
      </c>
      <c r="S28" t="s">
        <v>1969</v>
      </c>
      <c r="T28" t="s">
        <v>2024</v>
      </c>
      <c r="U28" t="s">
        <v>2025</v>
      </c>
      <c r="V28" t="s">
        <v>2026</v>
      </c>
      <c r="W28" t="s">
        <v>1895</v>
      </c>
      <c r="X28" t="s">
        <v>1908</v>
      </c>
      <c r="Y28" t="s">
        <v>1908</v>
      </c>
    </row>
    <row r="29" spans="1:32">
      <c r="A29" s="10" t="s">
        <v>31</v>
      </c>
      <c r="B29" s="1" t="s">
        <v>37</v>
      </c>
      <c r="C29" t="s">
        <v>1589</v>
      </c>
      <c r="D29" s="1" t="str">
        <f t="shared" si="0"/>
        <v>short-haul flights</v>
      </c>
      <c r="E29" s="2">
        <f t="shared" si="4"/>
        <v>42545</v>
      </c>
      <c r="F29" s="28">
        <f t="shared" si="5"/>
        <v>1.0312499999999996</v>
      </c>
      <c r="H29" s="28">
        <f t="shared" si="1"/>
        <v>1.1562499999999996</v>
      </c>
      <c r="I29">
        <f t="shared" si="2"/>
        <v>0</v>
      </c>
      <c r="J29">
        <f t="shared" si="3"/>
        <v>0</v>
      </c>
      <c r="K29" t="s">
        <v>1390</v>
      </c>
      <c r="L29" t="s">
        <v>1599</v>
      </c>
      <c r="M29" t="s">
        <v>1758</v>
      </c>
      <c r="N29" t="s">
        <v>1759</v>
      </c>
      <c r="O29" t="s">
        <v>1760</v>
      </c>
      <c r="P29" t="s">
        <v>1761</v>
      </c>
      <c r="Q29" t="s">
        <v>1632</v>
      </c>
      <c r="R29" t="s">
        <v>2027</v>
      </c>
      <c r="S29" t="s">
        <v>1969</v>
      </c>
      <c r="T29" t="s">
        <v>2028</v>
      </c>
      <c r="U29" t="s">
        <v>2029</v>
      </c>
      <c r="V29" t="s">
        <v>2030</v>
      </c>
      <c r="X29" t="s">
        <v>1908</v>
      </c>
      <c r="Y29" t="s">
        <v>1908</v>
      </c>
      <c r="AA29" t="s">
        <v>1908</v>
      </c>
      <c r="AF29" t="s">
        <v>2031</v>
      </c>
    </row>
    <row r="30" spans="1:32">
      <c r="A30" s="10" t="s">
        <v>32</v>
      </c>
      <c r="B30" s="1" t="s">
        <v>37</v>
      </c>
      <c r="C30" t="s">
        <v>1590</v>
      </c>
      <c r="D30" s="1" t="str">
        <f t="shared" si="0"/>
        <v>short-haul flights</v>
      </c>
      <c r="E30" s="2">
        <f t="shared" si="4"/>
        <v>42565</v>
      </c>
      <c r="F30" s="28">
        <f t="shared" si="5"/>
        <v>1.069444444444444</v>
      </c>
      <c r="H30" s="28">
        <f t="shared" si="1"/>
        <v>1.194444444444444</v>
      </c>
      <c r="I30">
        <f t="shared" si="2"/>
        <v>0</v>
      </c>
      <c r="J30">
        <f t="shared" si="3"/>
        <v>0</v>
      </c>
      <c r="K30" t="s">
        <v>1391</v>
      </c>
      <c r="L30" t="s">
        <v>1762</v>
      </c>
      <c r="M30" t="s">
        <v>1763</v>
      </c>
      <c r="N30" t="s">
        <v>1764</v>
      </c>
      <c r="O30" t="s">
        <v>1765</v>
      </c>
      <c r="P30" t="s">
        <v>1766</v>
      </c>
      <c r="Q30" t="s">
        <v>1620</v>
      </c>
      <c r="R30" t="s">
        <v>2032</v>
      </c>
      <c r="S30" t="s">
        <v>1904</v>
      </c>
      <c r="T30" t="s">
        <v>2033</v>
      </c>
      <c r="U30" t="s">
        <v>2034</v>
      </c>
      <c r="V30" t="s">
        <v>2035</v>
      </c>
      <c r="W30" t="s">
        <v>1908</v>
      </c>
      <c r="Y30" t="s">
        <v>1908</v>
      </c>
      <c r="AD30" t="s">
        <v>1908</v>
      </c>
      <c r="AF30" t="s">
        <v>2036</v>
      </c>
    </row>
    <row r="31" spans="1:32">
      <c r="A31" s="10" t="s">
        <v>33</v>
      </c>
      <c r="B31" s="1" t="s">
        <v>37</v>
      </c>
      <c r="C31" t="s">
        <v>1591</v>
      </c>
      <c r="D31" s="1" t="str">
        <f t="shared" si="0"/>
        <v>short-haul flights</v>
      </c>
      <c r="E31" s="2">
        <f t="shared" si="4"/>
        <v>42585</v>
      </c>
      <c r="F31" s="28">
        <f t="shared" si="5"/>
        <v>1.1076388888888884</v>
      </c>
      <c r="H31" s="28">
        <f t="shared" si="1"/>
        <v>1.2326388888888884</v>
      </c>
      <c r="I31">
        <f t="shared" si="2"/>
        <v>0</v>
      </c>
      <c r="J31">
        <f t="shared" si="3"/>
        <v>0</v>
      </c>
      <c r="K31" t="s">
        <v>1392</v>
      </c>
      <c r="L31" t="s">
        <v>49</v>
      </c>
      <c r="M31" t="s">
        <v>1767</v>
      </c>
      <c r="N31" t="s">
        <v>1768</v>
      </c>
      <c r="O31" t="s">
        <v>1769</v>
      </c>
      <c r="P31" t="s">
        <v>1770</v>
      </c>
      <c r="Q31" t="s">
        <v>1771</v>
      </c>
      <c r="R31" t="s">
        <v>2037</v>
      </c>
      <c r="S31" t="s">
        <v>1958</v>
      </c>
      <c r="T31" t="s">
        <v>2038</v>
      </c>
      <c r="U31" t="s">
        <v>2039</v>
      </c>
      <c r="V31" t="s">
        <v>2040</v>
      </c>
      <c r="W31" t="s">
        <v>1908</v>
      </c>
      <c r="Y31" t="s">
        <v>1908</v>
      </c>
    </row>
    <row r="32" spans="1:32">
      <c r="A32" s="10" t="s">
        <v>24</v>
      </c>
      <c r="B32" s="1" t="s">
        <v>37</v>
      </c>
      <c r="C32" t="s">
        <v>1592</v>
      </c>
      <c r="D32" s="1" t="str">
        <f t="shared" si="0"/>
        <v>short-haul flights</v>
      </c>
      <c r="E32" s="2">
        <f t="shared" si="4"/>
        <v>42605</v>
      </c>
      <c r="F32" s="28">
        <f t="shared" si="5"/>
        <v>1.1458333333333328</v>
      </c>
      <c r="H32" s="28">
        <f t="shared" si="1"/>
        <v>1.2708333333333328</v>
      </c>
      <c r="I32">
        <f t="shared" si="2"/>
        <v>0</v>
      </c>
      <c r="J32">
        <f t="shared" si="3"/>
        <v>0</v>
      </c>
      <c r="K32" t="s">
        <v>1393</v>
      </c>
      <c r="L32" t="s">
        <v>49</v>
      </c>
      <c r="M32" t="s">
        <v>1767</v>
      </c>
      <c r="N32" t="s">
        <v>1772</v>
      </c>
      <c r="O32" t="s">
        <v>1773</v>
      </c>
      <c r="P32" t="s">
        <v>1774</v>
      </c>
      <c r="Q32" t="s">
        <v>1771</v>
      </c>
      <c r="R32" t="s">
        <v>2041</v>
      </c>
      <c r="S32" t="s">
        <v>1958</v>
      </c>
      <c r="T32" t="s">
        <v>2042</v>
      </c>
      <c r="U32" t="s">
        <v>2043</v>
      </c>
      <c r="V32" t="s">
        <v>2044</v>
      </c>
      <c r="Y32" t="s">
        <v>1908</v>
      </c>
    </row>
    <row r="33" spans="1:32">
      <c r="A33" s="10" t="s">
        <v>25</v>
      </c>
      <c r="B33" s="1" t="s">
        <v>37</v>
      </c>
      <c r="C33" t="s">
        <v>1593</v>
      </c>
      <c r="D33" s="1" t="str">
        <f t="shared" si="0"/>
        <v>short-haul flights</v>
      </c>
      <c r="E33" s="2">
        <f t="shared" si="4"/>
        <v>42625</v>
      </c>
      <c r="F33" s="28">
        <f t="shared" si="5"/>
        <v>1.1840277777777772</v>
      </c>
      <c r="H33" s="28">
        <f t="shared" si="1"/>
        <v>1.3090277777777772</v>
      </c>
      <c r="I33">
        <f t="shared" si="2"/>
        <v>0</v>
      </c>
      <c r="J33">
        <f t="shared" si="3"/>
        <v>0</v>
      </c>
      <c r="K33" t="s">
        <v>1394</v>
      </c>
      <c r="L33" t="s">
        <v>1775</v>
      </c>
      <c r="M33" t="s">
        <v>1675</v>
      </c>
      <c r="N33" t="s">
        <v>1776</v>
      </c>
      <c r="O33" t="s">
        <v>1777</v>
      </c>
      <c r="P33" t="s">
        <v>1778</v>
      </c>
      <c r="Q33" t="s">
        <v>1752</v>
      </c>
      <c r="R33" t="s">
        <v>2045</v>
      </c>
      <c r="S33" t="s">
        <v>1969</v>
      </c>
      <c r="T33" t="s">
        <v>2046</v>
      </c>
      <c r="U33" t="s">
        <v>2047</v>
      </c>
      <c r="V33" t="s">
        <v>2048</v>
      </c>
      <c r="W33" t="s">
        <v>1895</v>
      </c>
      <c r="X33" t="s">
        <v>1908</v>
      </c>
      <c r="Y33" t="s">
        <v>1908</v>
      </c>
    </row>
    <row r="34" spans="1:32">
      <c r="A34" s="10" t="s">
        <v>26</v>
      </c>
      <c r="B34" s="1" t="s">
        <v>37</v>
      </c>
      <c r="C34" t="s">
        <v>1594</v>
      </c>
      <c r="D34" s="1" t="str">
        <f t="shared" si="0"/>
        <v>short-haul flights</v>
      </c>
      <c r="E34" s="2">
        <f t="shared" si="4"/>
        <v>42645</v>
      </c>
      <c r="F34" s="28">
        <f t="shared" si="5"/>
        <v>1.2222222222222217</v>
      </c>
      <c r="H34" s="28">
        <f t="shared" si="1"/>
        <v>1.3472222222222217</v>
      </c>
      <c r="I34">
        <f t="shared" si="2"/>
        <v>0</v>
      </c>
      <c r="J34">
        <f t="shared" si="3"/>
        <v>0</v>
      </c>
      <c r="K34" t="s">
        <v>1395</v>
      </c>
      <c r="L34" t="s">
        <v>1779</v>
      </c>
      <c r="M34" t="s">
        <v>1780</v>
      </c>
      <c r="N34" t="s">
        <v>1781</v>
      </c>
      <c r="O34" t="s">
        <v>1782</v>
      </c>
      <c r="P34" t="s">
        <v>1783</v>
      </c>
      <c r="Q34" t="s">
        <v>1632</v>
      </c>
      <c r="R34" t="s">
        <v>2049</v>
      </c>
      <c r="S34" t="s">
        <v>1958</v>
      </c>
      <c r="T34" t="s">
        <v>2050</v>
      </c>
      <c r="U34" t="s">
        <v>2051</v>
      </c>
      <c r="V34" t="s">
        <v>2052</v>
      </c>
      <c r="Y34" t="s">
        <v>1908</v>
      </c>
      <c r="AF34" t="s">
        <v>2053</v>
      </c>
    </row>
    <row r="35" spans="1:32">
      <c r="A35" s="10" t="s">
        <v>27</v>
      </c>
      <c r="B35" s="1" t="s">
        <v>37</v>
      </c>
      <c r="C35" t="s">
        <v>1595</v>
      </c>
      <c r="D35" s="1" t="str">
        <f t="shared" si="0"/>
        <v>short-haul flights</v>
      </c>
      <c r="E35" s="2">
        <f t="shared" si="4"/>
        <v>42665</v>
      </c>
      <c r="F35" s="28">
        <f t="shared" si="5"/>
        <v>1.2604166666666661</v>
      </c>
      <c r="H35" s="28">
        <f t="shared" si="1"/>
        <v>1.3854166666666661</v>
      </c>
      <c r="I35">
        <f t="shared" si="2"/>
        <v>0</v>
      </c>
      <c r="J35">
        <f t="shared" si="3"/>
        <v>0</v>
      </c>
      <c r="K35" t="s">
        <v>1396</v>
      </c>
      <c r="L35" t="s">
        <v>1784</v>
      </c>
      <c r="M35" t="s">
        <v>1653</v>
      </c>
      <c r="N35" t="s">
        <v>1785</v>
      </c>
      <c r="O35" t="s">
        <v>1786</v>
      </c>
      <c r="P35" t="s">
        <v>1787</v>
      </c>
      <c r="Q35" t="s">
        <v>1657</v>
      </c>
      <c r="R35" t="s">
        <v>2054</v>
      </c>
      <c r="S35" t="s">
        <v>1924</v>
      </c>
      <c r="T35" t="s">
        <v>2055</v>
      </c>
      <c r="U35" t="s">
        <v>2056</v>
      </c>
      <c r="V35" t="s">
        <v>2057</v>
      </c>
      <c r="X35" t="s">
        <v>1895</v>
      </c>
    </row>
    <row r="36" spans="1:32">
      <c r="A36" s="10" t="s">
        <v>28</v>
      </c>
      <c r="B36" s="1" t="s">
        <v>37</v>
      </c>
      <c r="C36" t="s">
        <v>1597</v>
      </c>
      <c r="D36" s="1" t="str">
        <f t="shared" si="0"/>
        <v>short-haul flights</v>
      </c>
      <c r="E36" s="2">
        <f t="shared" si="4"/>
        <v>42685</v>
      </c>
      <c r="F36" s="28">
        <f t="shared" si="5"/>
        <v>1.2986111111111105</v>
      </c>
      <c r="H36" s="28">
        <f t="shared" si="1"/>
        <v>1.4236111111111105</v>
      </c>
      <c r="I36">
        <f t="shared" si="2"/>
        <v>0</v>
      </c>
      <c r="J36">
        <f t="shared" si="3"/>
        <v>0</v>
      </c>
      <c r="K36" t="s">
        <v>1397</v>
      </c>
      <c r="L36" t="s">
        <v>46</v>
      </c>
      <c r="M36" t="s">
        <v>1675</v>
      </c>
      <c r="N36" t="s">
        <v>1788</v>
      </c>
      <c r="O36" t="s">
        <v>1789</v>
      </c>
      <c r="P36" t="s">
        <v>1790</v>
      </c>
      <c r="Q36" t="s">
        <v>1620</v>
      </c>
      <c r="R36" t="s">
        <v>2058</v>
      </c>
      <c r="S36" t="s">
        <v>1930</v>
      </c>
      <c r="T36" t="s">
        <v>2059</v>
      </c>
      <c r="U36" t="s">
        <v>2060</v>
      </c>
      <c r="V36" t="s">
        <v>2061</v>
      </c>
      <c r="W36" t="s">
        <v>1895</v>
      </c>
      <c r="AA36" t="s">
        <v>1908</v>
      </c>
    </row>
    <row r="37" spans="1:32">
      <c r="A37" s="10" t="s">
        <v>29</v>
      </c>
      <c r="B37" s="1" t="s">
        <v>37</v>
      </c>
      <c r="C37" t="s">
        <v>1596</v>
      </c>
      <c r="D37" s="1" t="str">
        <f t="shared" si="0"/>
        <v>short-haul flights</v>
      </c>
      <c r="E37" s="2">
        <f t="shared" si="4"/>
        <v>42705</v>
      </c>
      <c r="F37" s="28">
        <f t="shared" si="5"/>
        <v>1.3368055555555549</v>
      </c>
      <c r="H37" s="28">
        <f t="shared" si="1"/>
        <v>1.4618055555555549</v>
      </c>
      <c r="I37">
        <f t="shared" si="2"/>
        <v>0</v>
      </c>
      <c r="J37">
        <f t="shared" si="3"/>
        <v>0</v>
      </c>
      <c r="K37" t="s">
        <v>1398</v>
      </c>
      <c r="L37" t="s">
        <v>1791</v>
      </c>
      <c r="M37" t="s">
        <v>1792</v>
      </c>
      <c r="N37" t="s">
        <v>1793</v>
      </c>
      <c r="O37" t="s">
        <v>1794</v>
      </c>
      <c r="P37" t="s">
        <v>1795</v>
      </c>
      <c r="Q37" t="s">
        <v>1632</v>
      </c>
      <c r="R37" t="s">
        <v>2062</v>
      </c>
      <c r="S37" t="s">
        <v>2063</v>
      </c>
      <c r="T37" t="s">
        <v>2064</v>
      </c>
      <c r="U37" t="s">
        <v>2065</v>
      </c>
      <c r="V37" t="s">
        <v>2066</v>
      </c>
      <c r="W37" t="s">
        <v>1908</v>
      </c>
      <c r="X37" t="s">
        <v>1895</v>
      </c>
      <c r="Y37" t="s">
        <v>1908</v>
      </c>
      <c r="AF37" t="s">
        <v>2067</v>
      </c>
    </row>
    <row r="38" spans="1:32">
      <c r="A38" s="10" t="s">
        <v>30</v>
      </c>
      <c r="B38" s="1" t="s">
        <v>37</v>
      </c>
      <c r="C38" t="s">
        <v>1597</v>
      </c>
      <c r="D38" s="1" t="str">
        <f t="shared" si="0"/>
        <v>short-haul flights</v>
      </c>
      <c r="E38" s="2">
        <f t="shared" si="4"/>
        <v>42725</v>
      </c>
      <c r="F38" s="28">
        <f t="shared" si="5"/>
        <v>1.3749999999999993</v>
      </c>
      <c r="H38" s="28">
        <f t="shared" si="1"/>
        <v>1.4999999999999993</v>
      </c>
      <c r="I38">
        <f t="shared" si="2"/>
        <v>0</v>
      </c>
      <c r="J38">
        <f t="shared" si="3"/>
        <v>0</v>
      </c>
      <c r="K38" t="s">
        <v>1399</v>
      </c>
      <c r="L38" t="s">
        <v>1796</v>
      </c>
      <c r="M38" t="s">
        <v>1797</v>
      </c>
      <c r="N38" t="s">
        <v>1798</v>
      </c>
      <c r="O38" t="s">
        <v>1799</v>
      </c>
      <c r="P38" t="s">
        <v>1800</v>
      </c>
      <c r="Q38" t="s">
        <v>1620</v>
      </c>
      <c r="R38" t="s">
        <v>2068</v>
      </c>
      <c r="S38" t="s">
        <v>2005</v>
      </c>
      <c r="T38" t="s">
        <v>2069</v>
      </c>
      <c r="U38" t="s">
        <v>2070</v>
      </c>
      <c r="V38" t="s">
        <v>2071</v>
      </c>
      <c r="W38" t="s">
        <v>1908</v>
      </c>
    </row>
    <row r="39" spans="1:32">
      <c r="A39" s="10" t="s">
        <v>31</v>
      </c>
      <c r="B39" s="1" t="s">
        <v>37</v>
      </c>
      <c r="C39" t="s">
        <v>1598</v>
      </c>
      <c r="D39" s="1" t="str">
        <f t="shared" si="0"/>
        <v>short-haul flights</v>
      </c>
      <c r="E39" s="2">
        <f t="shared" si="4"/>
        <v>42745</v>
      </c>
      <c r="F39" s="28">
        <f t="shared" si="5"/>
        <v>1.4131944444444438</v>
      </c>
      <c r="H39" s="28">
        <f t="shared" si="1"/>
        <v>1.5381944444444438</v>
      </c>
      <c r="I39">
        <f t="shared" si="2"/>
        <v>0</v>
      </c>
      <c r="J39">
        <f t="shared" si="3"/>
        <v>0</v>
      </c>
      <c r="K39" t="s">
        <v>1400</v>
      </c>
      <c r="L39" t="s">
        <v>1801</v>
      </c>
      <c r="M39" t="s">
        <v>1802</v>
      </c>
      <c r="N39" t="s">
        <v>1803</v>
      </c>
      <c r="O39" t="s">
        <v>1804</v>
      </c>
      <c r="P39" t="s">
        <v>1805</v>
      </c>
      <c r="Q39" t="s">
        <v>1626</v>
      </c>
      <c r="R39" t="s">
        <v>2072</v>
      </c>
      <c r="S39" t="s">
        <v>2005</v>
      </c>
      <c r="T39" t="s">
        <v>2073</v>
      </c>
      <c r="U39" t="s">
        <v>2074</v>
      </c>
      <c r="V39" t="s">
        <v>2075</v>
      </c>
      <c r="W39" t="s">
        <v>1908</v>
      </c>
      <c r="Y39" t="s">
        <v>1908</v>
      </c>
      <c r="AF39" t="s">
        <v>2076</v>
      </c>
    </row>
    <row r="40" spans="1:32">
      <c r="A40" s="10" t="s">
        <v>32</v>
      </c>
      <c r="B40" s="1" t="s">
        <v>37</v>
      </c>
      <c r="C40" t="s">
        <v>1599</v>
      </c>
      <c r="D40" s="1" t="str">
        <f t="shared" si="0"/>
        <v>short-haul flights</v>
      </c>
      <c r="E40" s="2">
        <f t="shared" si="4"/>
        <v>42765</v>
      </c>
      <c r="F40" s="28">
        <f t="shared" si="5"/>
        <v>1.4513888888888882</v>
      </c>
      <c r="H40" s="28">
        <f t="shared" si="1"/>
        <v>1.5763888888888882</v>
      </c>
      <c r="I40">
        <f t="shared" si="2"/>
        <v>0</v>
      </c>
      <c r="J40">
        <f t="shared" si="3"/>
        <v>0</v>
      </c>
      <c r="K40" t="s">
        <v>1401</v>
      </c>
      <c r="L40" t="s">
        <v>47</v>
      </c>
      <c r="M40" t="s">
        <v>1806</v>
      </c>
      <c r="N40" t="s">
        <v>1807</v>
      </c>
      <c r="O40" t="s">
        <v>1808</v>
      </c>
      <c r="P40" t="s">
        <v>1809</v>
      </c>
      <c r="Q40" t="s">
        <v>1810</v>
      </c>
      <c r="R40" t="s">
        <v>2077</v>
      </c>
      <c r="S40" t="s">
        <v>1898</v>
      </c>
      <c r="T40" t="s">
        <v>2078</v>
      </c>
      <c r="U40" t="s">
        <v>2079</v>
      </c>
      <c r="V40" t="s">
        <v>2080</v>
      </c>
      <c r="Z40" t="s">
        <v>1895</v>
      </c>
      <c r="AF40" t="s">
        <v>2081</v>
      </c>
    </row>
    <row r="41" spans="1:32">
      <c r="A41" s="10" t="s">
        <v>33</v>
      </c>
      <c r="B41" s="1" t="s">
        <v>37</v>
      </c>
      <c r="C41" t="s">
        <v>1600</v>
      </c>
      <c r="D41" s="1" t="str">
        <f t="shared" si="0"/>
        <v>short-haul flights</v>
      </c>
      <c r="E41" s="2">
        <f t="shared" si="4"/>
        <v>42785</v>
      </c>
      <c r="F41" s="28">
        <f t="shared" si="5"/>
        <v>1.4895833333333326</v>
      </c>
      <c r="H41" s="28">
        <f t="shared" si="1"/>
        <v>1.6145833333333326</v>
      </c>
      <c r="I41">
        <f t="shared" si="2"/>
        <v>0</v>
      </c>
      <c r="J41">
        <f t="shared" si="3"/>
        <v>0</v>
      </c>
      <c r="K41" t="s">
        <v>1402</v>
      </c>
      <c r="L41" t="s">
        <v>1811</v>
      </c>
      <c r="M41" t="s">
        <v>1653</v>
      </c>
      <c r="N41" t="s">
        <v>1812</v>
      </c>
      <c r="O41" t="s">
        <v>1813</v>
      </c>
      <c r="P41" t="s">
        <v>1814</v>
      </c>
      <c r="Q41" t="s">
        <v>1657</v>
      </c>
      <c r="R41" t="s">
        <v>2082</v>
      </c>
      <c r="S41" t="s">
        <v>1930</v>
      </c>
      <c r="T41" t="s">
        <v>2083</v>
      </c>
      <c r="U41" t="s">
        <v>2084</v>
      </c>
      <c r="V41" t="s">
        <v>2085</v>
      </c>
      <c r="W41" t="s">
        <v>1895</v>
      </c>
      <c r="AA41" t="s">
        <v>1908</v>
      </c>
      <c r="AF41" t="s">
        <v>2086</v>
      </c>
    </row>
    <row r="42" spans="1:32">
      <c r="A42" s="10" t="s">
        <v>24</v>
      </c>
      <c r="B42" s="1" t="s">
        <v>37</v>
      </c>
      <c r="C42" t="s">
        <v>1601</v>
      </c>
      <c r="D42" s="1" t="str">
        <f t="shared" si="0"/>
        <v>short-haul flights</v>
      </c>
      <c r="E42" s="2">
        <f t="shared" si="4"/>
        <v>42805</v>
      </c>
      <c r="F42" s="28">
        <f t="shared" si="5"/>
        <v>1.527777777777777</v>
      </c>
      <c r="H42" s="28">
        <f t="shared" si="1"/>
        <v>1.652777777777777</v>
      </c>
      <c r="I42">
        <f t="shared" si="2"/>
        <v>0</v>
      </c>
      <c r="J42">
        <f t="shared" si="3"/>
        <v>0</v>
      </c>
      <c r="K42" t="s">
        <v>1403</v>
      </c>
      <c r="L42" t="s">
        <v>1815</v>
      </c>
      <c r="M42" t="s">
        <v>1816</v>
      </c>
      <c r="N42" t="s">
        <v>1817</v>
      </c>
      <c r="O42" t="s">
        <v>1818</v>
      </c>
      <c r="P42" t="s">
        <v>1819</v>
      </c>
      <c r="Q42" t="s">
        <v>1620</v>
      </c>
      <c r="R42" t="s">
        <v>2087</v>
      </c>
      <c r="S42" t="s">
        <v>1904</v>
      </c>
      <c r="T42" t="s">
        <v>2088</v>
      </c>
      <c r="U42" t="s">
        <v>2089</v>
      </c>
      <c r="V42" t="s">
        <v>2090</v>
      </c>
      <c r="X42" t="s">
        <v>1908</v>
      </c>
      <c r="Y42" t="s">
        <v>1895</v>
      </c>
      <c r="AD42" t="s">
        <v>1908</v>
      </c>
      <c r="AF42" t="s">
        <v>2091</v>
      </c>
    </row>
    <row r="43" spans="1:32">
      <c r="A43" s="10" t="s">
        <v>25</v>
      </c>
      <c r="B43" s="1" t="s">
        <v>37</v>
      </c>
      <c r="C43" t="s">
        <v>1602</v>
      </c>
      <c r="D43" s="1" t="str">
        <f t="shared" si="0"/>
        <v>short-haul flights</v>
      </c>
      <c r="E43" s="2">
        <f t="shared" si="4"/>
        <v>42825</v>
      </c>
      <c r="F43" s="28">
        <f t="shared" si="5"/>
        <v>1.5659722222222214</v>
      </c>
      <c r="H43" s="28">
        <f t="shared" si="1"/>
        <v>1.6909722222222214</v>
      </c>
      <c r="I43">
        <f t="shared" si="2"/>
        <v>0</v>
      </c>
      <c r="J43">
        <f t="shared" si="3"/>
        <v>0</v>
      </c>
      <c r="K43" t="s">
        <v>1404</v>
      </c>
      <c r="L43" t="s">
        <v>1820</v>
      </c>
      <c r="M43" t="s">
        <v>1675</v>
      </c>
      <c r="N43" t="s">
        <v>1821</v>
      </c>
      <c r="O43" t="s">
        <v>1822</v>
      </c>
      <c r="P43" t="s">
        <v>1823</v>
      </c>
      <c r="Q43" t="s">
        <v>1752</v>
      </c>
      <c r="R43" t="s">
        <v>2092</v>
      </c>
      <c r="S43" t="s">
        <v>1940</v>
      </c>
      <c r="T43" t="s">
        <v>2093</v>
      </c>
      <c r="U43" t="s">
        <v>2094</v>
      </c>
      <c r="V43" t="s">
        <v>2095</v>
      </c>
      <c r="W43" t="s">
        <v>1908</v>
      </c>
      <c r="X43" t="s">
        <v>1908</v>
      </c>
      <c r="Y43" t="s">
        <v>1908</v>
      </c>
      <c r="Z43" t="s">
        <v>1908</v>
      </c>
      <c r="AA43" t="s">
        <v>1908</v>
      </c>
      <c r="AE43" t="s">
        <v>1908</v>
      </c>
      <c r="AF43" t="s">
        <v>2096</v>
      </c>
    </row>
    <row r="44" spans="1:32">
      <c r="A44" s="10" t="s">
        <v>26</v>
      </c>
      <c r="B44" s="1" t="s">
        <v>37</v>
      </c>
      <c r="C44" t="s">
        <v>1603</v>
      </c>
      <c r="D44" s="1" t="str">
        <f t="shared" si="0"/>
        <v>short-haul flights</v>
      </c>
      <c r="E44" s="2">
        <f t="shared" si="4"/>
        <v>42845</v>
      </c>
      <c r="F44" s="28">
        <f t="shared" si="5"/>
        <v>1.6041666666666659</v>
      </c>
      <c r="H44" s="28">
        <f t="shared" si="1"/>
        <v>1.7291666666666659</v>
      </c>
      <c r="I44">
        <f t="shared" si="2"/>
        <v>0</v>
      </c>
      <c r="J44">
        <f t="shared" si="3"/>
        <v>0</v>
      </c>
      <c r="K44" t="s">
        <v>1405</v>
      </c>
      <c r="L44" t="s">
        <v>1824</v>
      </c>
      <c r="M44" t="s">
        <v>1825</v>
      </c>
      <c r="N44" t="s">
        <v>1826</v>
      </c>
      <c r="O44" t="s">
        <v>1827</v>
      </c>
      <c r="P44" t="s">
        <v>1828</v>
      </c>
      <c r="Q44" t="s">
        <v>1829</v>
      </c>
      <c r="R44" t="s">
        <v>2097</v>
      </c>
      <c r="S44" t="s">
        <v>2098</v>
      </c>
      <c r="T44" t="s">
        <v>2099</v>
      </c>
      <c r="U44" t="s">
        <v>2100</v>
      </c>
      <c r="V44" t="s">
        <v>2101</v>
      </c>
      <c r="W44" t="s">
        <v>1908</v>
      </c>
      <c r="AF44" t="s">
        <v>2102</v>
      </c>
    </row>
    <row r="45" spans="1:32">
      <c r="A45" s="10" t="s">
        <v>27</v>
      </c>
      <c r="B45" s="1" t="s">
        <v>37</v>
      </c>
      <c r="C45" t="s">
        <v>1604</v>
      </c>
      <c r="D45" s="1" t="str">
        <f t="shared" si="0"/>
        <v>short-haul flights</v>
      </c>
      <c r="E45" s="2">
        <f t="shared" si="4"/>
        <v>42865</v>
      </c>
      <c r="F45" s="28">
        <f t="shared" si="5"/>
        <v>1.6423611111111103</v>
      </c>
      <c r="H45" s="28">
        <f t="shared" si="1"/>
        <v>1.7673611111111103</v>
      </c>
      <c r="I45">
        <f t="shared" si="2"/>
        <v>0</v>
      </c>
      <c r="J45">
        <f t="shared" si="3"/>
        <v>0</v>
      </c>
      <c r="K45" t="s">
        <v>1406</v>
      </c>
      <c r="L45" t="s">
        <v>1830</v>
      </c>
      <c r="M45" t="s">
        <v>1825</v>
      </c>
      <c r="N45" t="s">
        <v>1831</v>
      </c>
      <c r="O45" t="s">
        <v>1832</v>
      </c>
      <c r="P45" t="s">
        <v>1833</v>
      </c>
      <c r="Q45" t="s">
        <v>1620</v>
      </c>
      <c r="R45" t="s">
        <v>2103</v>
      </c>
      <c r="S45" t="s">
        <v>2104</v>
      </c>
      <c r="T45" t="s">
        <v>2105</v>
      </c>
      <c r="U45" t="s">
        <v>2106</v>
      </c>
      <c r="V45" t="s">
        <v>2107</v>
      </c>
      <c r="X45" t="s">
        <v>1908</v>
      </c>
      <c r="AB45" t="s">
        <v>1895</v>
      </c>
      <c r="AC45" t="s">
        <v>1908</v>
      </c>
      <c r="AF45" t="s">
        <v>2108</v>
      </c>
    </row>
    <row r="46" spans="1:32">
      <c r="A46" s="10" t="s">
        <v>28</v>
      </c>
      <c r="B46" s="1" t="s">
        <v>37</v>
      </c>
      <c r="C46" t="s">
        <v>1605</v>
      </c>
      <c r="D46" s="1" t="str">
        <f t="shared" si="0"/>
        <v>short-haul flights</v>
      </c>
      <c r="E46" s="2">
        <f t="shared" si="4"/>
        <v>42885</v>
      </c>
      <c r="F46" s="28">
        <f t="shared" si="5"/>
        <v>1.6805555555555547</v>
      </c>
      <c r="H46" s="28">
        <f t="shared" si="1"/>
        <v>1.8055555555555547</v>
      </c>
      <c r="I46">
        <f t="shared" si="2"/>
        <v>0</v>
      </c>
      <c r="J46">
        <f t="shared" si="3"/>
        <v>0</v>
      </c>
      <c r="K46" t="s">
        <v>1407</v>
      </c>
      <c r="L46" t="s">
        <v>1834</v>
      </c>
      <c r="M46" t="s">
        <v>1669</v>
      </c>
      <c r="N46" t="s">
        <v>1835</v>
      </c>
      <c r="O46" t="s">
        <v>1836</v>
      </c>
      <c r="P46" t="s">
        <v>1837</v>
      </c>
      <c r="Q46" t="s">
        <v>1620</v>
      </c>
      <c r="R46" t="s">
        <v>2109</v>
      </c>
      <c r="S46" t="s">
        <v>1904</v>
      </c>
      <c r="T46" t="s">
        <v>2110</v>
      </c>
      <c r="U46" t="s">
        <v>2111</v>
      </c>
      <c r="V46" t="s">
        <v>2112</v>
      </c>
      <c r="Y46" t="s">
        <v>1908</v>
      </c>
      <c r="AF46" t="s">
        <v>2113</v>
      </c>
    </row>
    <row r="47" spans="1:32">
      <c r="A47" s="10" t="s">
        <v>29</v>
      </c>
      <c r="B47" s="1" t="s">
        <v>37</v>
      </c>
      <c r="C47" t="s">
        <v>1606</v>
      </c>
      <c r="D47" s="1" t="str">
        <f t="shared" si="0"/>
        <v>short-haul flights</v>
      </c>
      <c r="E47" s="2">
        <f t="shared" si="4"/>
        <v>42905</v>
      </c>
      <c r="F47" s="28">
        <f t="shared" si="5"/>
        <v>1.7187499999999991</v>
      </c>
      <c r="H47" s="28">
        <f t="shared" si="1"/>
        <v>1.8437499999999991</v>
      </c>
      <c r="I47">
        <f t="shared" si="2"/>
        <v>0</v>
      </c>
      <c r="J47">
        <f t="shared" si="3"/>
        <v>0</v>
      </c>
      <c r="K47" t="s">
        <v>1408</v>
      </c>
      <c r="L47" t="s">
        <v>37</v>
      </c>
      <c r="M47" t="s">
        <v>1675</v>
      </c>
      <c r="N47" t="s">
        <v>1838</v>
      </c>
      <c r="O47" t="s">
        <v>1839</v>
      </c>
      <c r="P47" t="s">
        <v>1840</v>
      </c>
      <c r="Q47" t="s">
        <v>1810</v>
      </c>
      <c r="R47" t="s">
        <v>2114</v>
      </c>
      <c r="S47" t="s">
        <v>1904</v>
      </c>
      <c r="T47" t="s">
        <v>2115</v>
      </c>
      <c r="U47" t="s">
        <v>2116</v>
      </c>
      <c r="V47" t="s">
        <v>2117</v>
      </c>
      <c r="W47" t="s">
        <v>1895</v>
      </c>
      <c r="AD47" t="s">
        <v>1908</v>
      </c>
    </row>
    <row r="48" spans="1:32">
      <c r="A48" s="10" t="s">
        <v>30</v>
      </c>
      <c r="B48" s="1" t="s">
        <v>37</v>
      </c>
      <c r="C48" t="s">
        <v>1607</v>
      </c>
      <c r="D48" s="1" t="str">
        <f t="shared" si="0"/>
        <v>short-haul flights</v>
      </c>
      <c r="E48" s="2">
        <f t="shared" si="4"/>
        <v>42925</v>
      </c>
      <c r="F48" s="28">
        <f t="shared" si="5"/>
        <v>1.7569444444444435</v>
      </c>
      <c r="H48" s="28">
        <f t="shared" si="1"/>
        <v>1.8819444444444435</v>
      </c>
      <c r="I48">
        <f t="shared" si="2"/>
        <v>0</v>
      </c>
      <c r="J48">
        <f t="shared" si="3"/>
        <v>0</v>
      </c>
      <c r="K48" t="s">
        <v>1409</v>
      </c>
      <c r="L48" t="s">
        <v>37</v>
      </c>
      <c r="M48" t="s">
        <v>1675</v>
      </c>
      <c r="N48" t="s">
        <v>1841</v>
      </c>
      <c r="O48" t="s">
        <v>1842</v>
      </c>
      <c r="P48" t="s">
        <v>1843</v>
      </c>
      <c r="Q48" t="s">
        <v>1829</v>
      </c>
      <c r="R48" t="s">
        <v>2118</v>
      </c>
      <c r="S48" t="s">
        <v>1898</v>
      </c>
      <c r="T48" t="s">
        <v>2119</v>
      </c>
      <c r="U48" t="s">
        <v>2120</v>
      </c>
      <c r="V48" t="s">
        <v>2121</v>
      </c>
      <c r="X48" t="s">
        <v>1908</v>
      </c>
    </row>
    <row r="49" spans="1:32">
      <c r="A49" s="10" t="s">
        <v>31</v>
      </c>
      <c r="B49" s="1" t="s">
        <v>37</v>
      </c>
      <c r="C49" t="s">
        <v>1608</v>
      </c>
      <c r="D49" s="1" t="str">
        <f t="shared" si="0"/>
        <v>short-haul flights</v>
      </c>
      <c r="E49" s="2">
        <f t="shared" si="4"/>
        <v>42945</v>
      </c>
      <c r="F49" s="28">
        <f t="shared" si="5"/>
        <v>1.795138888888888</v>
      </c>
      <c r="H49" s="28">
        <f t="shared" si="1"/>
        <v>1.920138888888888</v>
      </c>
      <c r="I49">
        <f t="shared" si="2"/>
        <v>0</v>
      </c>
      <c r="J49">
        <f t="shared" si="3"/>
        <v>0</v>
      </c>
      <c r="K49" t="s">
        <v>1410</v>
      </c>
      <c r="L49" t="s">
        <v>1844</v>
      </c>
      <c r="M49" t="s">
        <v>1680</v>
      </c>
      <c r="N49" t="s">
        <v>1845</v>
      </c>
      <c r="O49" t="s">
        <v>1846</v>
      </c>
      <c r="P49" t="s">
        <v>1847</v>
      </c>
      <c r="Q49" t="s">
        <v>1620</v>
      </c>
      <c r="R49" t="s">
        <v>2122</v>
      </c>
      <c r="S49" t="s">
        <v>1904</v>
      </c>
      <c r="T49" t="s">
        <v>2123</v>
      </c>
      <c r="U49" t="s">
        <v>2124</v>
      </c>
      <c r="V49" t="s">
        <v>2125</v>
      </c>
    </row>
    <row r="50" spans="1:32">
      <c r="A50" s="10" t="s">
        <v>32</v>
      </c>
      <c r="B50" s="1" t="s">
        <v>37</v>
      </c>
      <c r="C50" t="s">
        <v>1609</v>
      </c>
      <c r="D50" s="1" t="str">
        <f t="shared" si="0"/>
        <v>short-haul flights</v>
      </c>
      <c r="E50" s="2">
        <f t="shared" si="4"/>
        <v>42965</v>
      </c>
      <c r="F50" s="28">
        <f t="shared" si="5"/>
        <v>1.8333333333333324</v>
      </c>
      <c r="H50" s="28">
        <f t="shared" si="1"/>
        <v>1.9583333333333324</v>
      </c>
      <c r="I50">
        <f t="shared" si="2"/>
        <v>0</v>
      </c>
      <c r="J50">
        <f t="shared" si="3"/>
        <v>0</v>
      </c>
      <c r="K50" t="s">
        <v>1411</v>
      </c>
      <c r="L50" t="s">
        <v>1848</v>
      </c>
      <c r="M50" t="s">
        <v>1754</v>
      </c>
      <c r="N50" t="s">
        <v>1849</v>
      </c>
      <c r="O50" t="s">
        <v>1850</v>
      </c>
      <c r="P50" t="s">
        <v>1851</v>
      </c>
      <c r="Q50" t="s">
        <v>1673</v>
      </c>
      <c r="R50" t="s">
        <v>1908</v>
      </c>
    </row>
    <row r="51" spans="1:32">
      <c r="A51" s="10" t="s">
        <v>33</v>
      </c>
      <c r="B51" s="1" t="s">
        <v>37</v>
      </c>
      <c r="C51" t="s">
        <v>1611</v>
      </c>
      <c r="D51" s="1" t="str">
        <f t="shared" si="0"/>
        <v>short-haul flights</v>
      </c>
      <c r="E51" s="2">
        <f t="shared" si="4"/>
        <v>42985</v>
      </c>
      <c r="F51" s="28">
        <f t="shared" si="5"/>
        <v>1.8715277777777768</v>
      </c>
      <c r="H51" s="28">
        <f t="shared" si="1"/>
        <v>1.9965277777777768</v>
      </c>
      <c r="I51">
        <f t="shared" si="2"/>
        <v>0</v>
      </c>
      <c r="J51">
        <f t="shared" si="3"/>
        <v>0</v>
      </c>
      <c r="K51" t="s">
        <v>1412</v>
      </c>
      <c r="L51" t="s">
        <v>1584</v>
      </c>
      <c r="M51" t="s">
        <v>1852</v>
      </c>
      <c r="N51" t="s">
        <v>1853</v>
      </c>
      <c r="O51" t="s">
        <v>1854</v>
      </c>
      <c r="P51" t="s">
        <v>1855</v>
      </c>
      <c r="Q51" t="s">
        <v>1810</v>
      </c>
      <c r="R51" t="s">
        <v>2126</v>
      </c>
      <c r="S51" t="s">
        <v>1969</v>
      </c>
      <c r="T51" t="s">
        <v>2127</v>
      </c>
      <c r="U51" t="s">
        <v>2128</v>
      </c>
      <c r="V51" t="s">
        <v>2129</v>
      </c>
      <c r="W51" t="s">
        <v>1908</v>
      </c>
      <c r="Y51" t="s">
        <v>1908</v>
      </c>
      <c r="AA51" t="s">
        <v>1908</v>
      </c>
    </row>
    <row r="52" spans="1:32">
      <c r="A52" s="10" t="s">
        <v>24</v>
      </c>
      <c r="B52" s="1" t="s">
        <v>37</v>
      </c>
      <c r="C52" t="s">
        <v>49</v>
      </c>
      <c r="D52" s="1" t="str">
        <f t="shared" si="0"/>
        <v>short-haul flights</v>
      </c>
      <c r="E52" s="2">
        <f t="shared" si="4"/>
        <v>43005</v>
      </c>
      <c r="F52" s="28">
        <f t="shared" si="5"/>
        <v>1.9097222222222212</v>
      </c>
      <c r="H52" s="28">
        <f t="shared" si="1"/>
        <v>2.0347222222222214</v>
      </c>
      <c r="I52">
        <f t="shared" si="2"/>
        <v>0</v>
      </c>
      <c r="J52">
        <f t="shared" si="3"/>
        <v>0</v>
      </c>
      <c r="K52" t="s">
        <v>1413</v>
      </c>
      <c r="L52" t="s">
        <v>1856</v>
      </c>
      <c r="M52" t="s">
        <v>1700</v>
      </c>
      <c r="N52" t="s">
        <v>1857</v>
      </c>
      <c r="O52" t="s">
        <v>1858</v>
      </c>
      <c r="P52" t="s">
        <v>1859</v>
      </c>
      <c r="Q52" t="s">
        <v>1673</v>
      </c>
      <c r="R52" t="s">
        <v>2130</v>
      </c>
      <c r="S52" t="s">
        <v>1969</v>
      </c>
      <c r="T52" t="s">
        <v>2131</v>
      </c>
      <c r="U52" t="s">
        <v>2132</v>
      </c>
      <c r="V52" t="s">
        <v>2133</v>
      </c>
      <c r="W52" t="s">
        <v>1908</v>
      </c>
    </row>
    <row r="53" spans="1:32">
      <c r="A53" s="10" t="s">
        <v>25</v>
      </c>
      <c r="B53" s="1" t="s">
        <v>37</v>
      </c>
      <c r="C53" t="s">
        <v>1610</v>
      </c>
      <c r="D53" s="1" t="str">
        <f t="shared" si="0"/>
        <v>short-haul flights</v>
      </c>
      <c r="E53" s="2">
        <f t="shared" si="4"/>
        <v>43025</v>
      </c>
      <c r="F53" s="28">
        <f t="shared" si="5"/>
        <v>1.9479166666666656</v>
      </c>
      <c r="H53" s="28">
        <f t="shared" si="1"/>
        <v>2.0729166666666656</v>
      </c>
      <c r="I53">
        <f t="shared" si="2"/>
        <v>0</v>
      </c>
      <c r="J53">
        <f t="shared" si="3"/>
        <v>0</v>
      </c>
      <c r="K53" t="s">
        <v>1414</v>
      </c>
      <c r="L53" t="s">
        <v>1860</v>
      </c>
      <c r="M53" t="s">
        <v>1653</v>
      </c>
      <c r="N53" t="s">
        <v>1861</v>
      </c>
      <c r="O53" t="s">
        <v>1862</v>
      </c>
      <c r="P53" t="s">
        <v>1863</v>
      </c>
      <c r="Q53" t="s">
        <v>1657</v>
      </c>
      <c r="R53" t="s">
        <v>2134</v>
      </c>
      <c r="S53" t="s">
        <v>1969</v>
      </c>
      <c r="T53" t="s">
        <v>2135</v>
      </c>
      <c r="U53" t="s">
        <v>2136</v>
      </c>
      <c r="V53" t="s">
        <v>2137</v>
      </c>
      <c r="Y53" t="s">
        <v>1908</v>
      </c>
    </row>
    <row r="54" spans="1:32">
      <c r="A54" s="10" t="s">
        <v>26</v>
      </c>
      <c r="B54" s="1" t="s">
        <v>37</v>
      </c>
      <c r="C54" t="s">
        <v>49</v>
      </c>
      <c r="D54" s="1" t="str">
        <f t="shared" si="0"/>
        <v>short-haul flights</v>
      </c>
      <c r="E54" s="2">
        <f t="shared" si="4"/>
        <v>43045</v>
      </c>
      <c r="F54" s="28">
        <f t="shared" si="5"/>
        <v>1.9861111111111101</v>
      </c>
      <c r="H54" s="28">
        <f t="shared" si="1"/>
        <v>2.1111111111111098</v>
      </c>
      <c r="I54">
        <f t="shared" si="2"/>
        <v>0</v>
      </c>
      <c r="J54">
        <f t="shared" si="3"/>
        <v>0</v>
      </c>
      <c r="K54" t="s">
        <v>1415</v>
      </c>
      <c r="L54" t="s">
        <v>1864</v>
      </c>
      <c r="M54" t="s">
        <v>1653</v>
      </c>
      <c r="N54" t="s">
        <v>1865</v>
      </c>
      <c r="O54" t="s">
        <v>1866</v>
      </c>
      <c r="P54" t="s">
        <v>1867</v>
      </c>
      <c r="Q54" t="s">
        <v>1657</v>
      </c>
      <c r="R54" t="s">
        <v>2138</v>
      </c>
      <c r="S54" t="s">
        <v>1969</v>
      </c>
      <c r="T54" t="s">
        <v>2139</v>
      </c>
      <c r="U54" t="s">
        <v>2140</v>
      </c>
      <c r="V54" t="s">
        <v>2141</v>
      </c>
      <c r="W54" t="s">
        <v>1895</v>
      </c>
      <c r="Y54" t="s">
        <v>1908</v>
      </c>
      <c r="AF54" t="s">
        <v>2142</v>
      </c>
    </row>
    <row r="55" spans="1:32">
      <c r="A55" s="10" t="s">
        <v>27</v>
      </c>
      <c r="B55" s="1" t="s">
        <v>37</v>
      </c>
      <c r="C55" t="s">
        <v>1606</v>
      </c>
      <c r="D55" s="1" t="str">
        <f t="shared" si="0"/>
        <v>short-haul flights</v>
      </c>
      <c r="E55" s="2">
        <f t="shared" si="4"/>
        <v>43065</v>
      </c>
      <c r="F55" s="28">
        <f t="shared" si="5"/>
        <v>2.0243055555555545</v>
      </c>
      <c r="H55" s="28">
        <f t="shared" si="1"/>
        <v>2.1493055555555545</v>
      </c>
      <c r="I55">
        <f t="shared" si="2"/>
        <v>0</v>
      </c>
      <c r="J55">
        <f t="shared" si="3"/>
        <v>0</v>
      </c>
      <c r="K55" t="s">
        <v>1416</v>
      </c>
      <c r="L55" t="s">
        <v>1868</v>
      </c>
      <c r="M55" t="s">
        <v>1719</v>
      </c>
      <c r="N55" t="s">
        <v>1869</v>
      </c>
      <c r="O55" t="s">
        <v>1870</v>
      </c>
      <c r="P55" t="s">
        <v>1871</v>
      </c>
      <c r="Q55" t="s">
        <v>1626</v>
      </c>
      <c r="R55" t="s">
        <v>2143</v>
      </c>
      <c r="S55" t="s">
        <v>1969</v>
      </c>
      <c r="T55" t="s">
        <v>2144</v>
      </c>
      <c r="U55" t="s">
        <v>2145</v>
      </c>
      <c r="V55" t="s">
        <v>2146</v>
      </c>
      <c r="W55" t="s">
        <v>1908</v>
      </c>
      <c r="X55" t="s">
        <v>1908</v>
      </c>
      <c r="Y55" t="s">
        <v>1908</v>
      </c>
      <c r="AA55" t="s">
        <v>1908</v>
      </c>
    </row>
    <row r="56" spans="1:32">
      <c r="A56" s="10" t="s">
        <v>28</v>
      </c>
      <c r="B56" s="1" t="s">
        <v>37</v>
      </c>
      <c r="C56" t="s">
        <v>1605</v>
      </c>
      <c r="D56" s="1" t="str">
        <f t="shared" si="0"/>
        <v>short-haul flights</v>
      </c>
      <c r="E56" s="2">
        <f t="shared" si="4"/>
        <v>43085</v>
      </c>
      <c r="F56" s="28">
        <f t="shared" si="5"/>
        <v>2.0624999999999991</v>
      </c>
      <c r="H56" s="28">
        <f t="shared" si="1"/>
        <v>2.1874999999999991</v>
      </c>
      <c r="I56">
        <f t="shared" si="2"/>
        <v>0</v>
      </c>
      <c r="J56">
        <f t="shared" si="3"/>
        <v>0</v>
      </c>
      <c r="K56" t="s">
        <v>1417</v>
      </c>
      <c r="R56" t="s">
        <v>2147</v>
      </c>
      <c r="S56" t="s">
        <v>2005</v>
      </c>
      <c r="T56" t="s">
        <v>2148</v>
      </c>
      <c r="U56" t="s">
        <v>2149</v>
      </c>
      <c r="V56" t="s">
        <v>2150</v>
      </c>
      <c r="W56" t="s">
        <v>1908</v>
      </c>
      <c r="Y56" t="s">
        <v>1908</v>
      </c>
    </row>
    <row r="57" spans="1:32">
      <c r="A57" s="10" t="s">
        <v>29</v>
      </c>
      <c r="B57" s="1" t="s">
        <v>37</v>
      </c>
      <c r="C57" t="s">
        <v>1608</v>
      </c>
      <c r="D57" s="1" t="str">
        <f t="shared" si="0"/>
        <v>short-haul flights</v>
      </c>
      <c r="E57" s="2">
        <f t="shared" si="4"/>
        <v>43105</v>
      </c>
      <c r="F57" s="28">
        <f t="shared" si="5"/>
        <v>2.1006944444444438</v>
      </c>
      <c r="H57" s="28">
        <f t="shared" si="1"/>
        <v>2.2256944444444438</v>
      </c>
      <c r="I57">
        <f t="shared" si="2"/>
        <v>0</v>
      </c>
      <c r="J57">
        <f t="shared" si="3"/>
        <v>0</v>
      </c>
      <c r="K57" t="s">
        <v>1418</v>
      </c>
      <c r="R57" t="s">
        <v>2151</v>
      </c>
      <c r="S57" t="s">
        <v>1958</v>
      </c>
      <c r="T57" t="s">
        <v>2152</v>
      </c>
      <c r="U57" t="s">
        <v>2153</v>
      </c>
      <c r="V57" t="s">
        <v>2154</v>
      </c>
      <c r="W57" t="s">
        <v>1895</v>
      </c>
      <c r="Y57" t="s">
        <v>1908</v>
      </c>
    </row>
    <row r="58" spans="1:32">
      <c r="A58" s="10" t="s">
        <v>30</v>
      </c>
      <c r="B58" s="1" t="s">
        <v>37</v>
      </c>
      <c r="C58" t="s">
        <v>1607</v>
      </c>
      <c r="D58" s="1" t="str">
        <f t="shared" si="0"/>
        <v>short-haul flights</v>
      </c>
      <c r="E58" s="2">
        <f t="shared" si="4"/>
        <v>43125</v>
      </c>
      <c r="F58" s="28">
        <f t="shared" si="5"/>
        <v>2.1388888888888884</v>
      </c>
      <c r="H58" s="28">
        <f t="shared" si="1"/>
        <v>2.2638888888888884</v>
      </c>
      <c r="I58">
        <f t="shared" si="2"/>
        <v>0</v>
      </c>
      <c r="J58">
        <f t="shared" si="3"/>
        <v>0</v>
      </c>
      <c r="K58" t="s">
        <v>1419</v>
      </c>
      <c r="R58" t="s">
        <v>2155</v>
      </c>
      <c r="S58" t="s">
        <v>2005</v>
      </c>
      <c r="T58" t="s">
        <v>2156</v>
      </c>
      <c r="U58" t="s">
        <v>2157</v>
      </c>
      <c r="V58" t="s">
        <v>2158</v>
      </c>
      <c r="W58" t="s">
        <v>1908</v>
      </c>
      <c r="Y58" t="s">
        <v>1908</v>
      </c>
      <c r="AA58" t="s">
        <v>1895</v>
      </c>
    </row>
    <row r="59" spans="1:32">
      <c r="A59" s="10" t="s">
        <v>31</v>
      </c>
      <c r="B59" s="1" t="s">
        <v>37</v>
      </c>
      <c r="C59" t="s">
        <v>1591</v>
      </c>
      <c r="D59" s="1" t="str">
        <f t="shared" si="0"/>
        <v>short-haul flights</v>
      </c>
      <c r="E59" s="2">
        <f t="shared" si="4"/>
        <v>43145</v>
      </c>
      <c r="F59" s="28">
        <f t="shared" si="5"/>
        <v>2.177083333333333</v>
      </c>
      <c r="H59" s="28">
        <f t="shared" si="1"/>
        <v>2.302083333333333</v>
      </c>
      <c r="I59">
        <f t="shared" si="2"/>
        <v>0</v>
      </c>
      <c r="J59">
        <f t="shared" si="3"/>
        <v>0</v>
      </c>
      <c r="K59" t="s">
        <v>1420</v>
      </c>
      <c r="R59" t="s">
        <v>2159</v>
      </c>
      <c r="S59" t="s">
        <v>2159</v>
      </c>
      <c r="T59" t="s">
        <v>2160</v>
      </c>
      <c r="U59" t="s">
        <v>2161</v>
      </c>
      <c r="V59" t="s">
        <v>2162</v>
      </c>
      <c r="W59" t="s">
        <v>1908</v>
      </c>
      <c r="Y59" t="s">
        <v>1908</v>
      </c>
      <c r="Z59" t="s">
        <v>1895</v>
      </c>
      <c r="AA59" t="s">
        <v>1908</v>
      </c>
    </row>
    <row r="60" spans="1:32">
      <c r="A60" s="10" t="s">
        <v>32</v>
      </c>
      <c r="B60" s="1" t="s">
        <v>37</v>
      </c>
      <c r="C60" t="s">
        <v>1593</v>
      </c>
      <c r="D60" s="1" t="str">
        <f t="shared" si="0"/>
        <v>short-haul flights</v>
      </c>
      <c r="E60" s="2">
        <f t="shared" si="4"/>
        <v>43165</v>
      </c>
      <c r="F60" s="28">
        <f t="shared" si="5"/>
        <v>2.2152777777777777</v>
      </c>
      <c r="H60" s="28">
        <f t="shared" si="1"/>
        <v>2.3402777777777777</v>
      </c>
      <c r="I60">
        <f t="shared" si="2"/>
        <v>0</v>
      </c>
      <c r="J60">
        <f t="shared" si="3"/>
        <v>0</v>
      </c>
      <c r="K60" t="s">
        <v>1421</v>
      </c>
      <c r="R60" t="s">
        <v>2163</v>
      </c>
      <c r="S60" t="s">
        <v>2164</v>
      </c>
      <c r="T60" t="s">
        <v>2165</v>
      </c>
      <c r="U60" t="s">
        <v>2166</v>
      </c>
      <c r="V60" t="s">
        <v>2167</v>
      </c>
      <c r="X60" t="s">
        <v>1908</v>
      </c>
      <c r="AF60" t="s">
        <v>2168</v>
      </c>
    </row>
    <row r="61" spans="1:32">
      <c r="A61" s="10" t="s">
        <v>33</v>
      </c>
      <c r="B61" s="1" t="s">
        <v>37</v>
      </c>
      <c r="C61" t="s">
        <v>1573</v>
      </c>
      <c r="D61" s="1" t="str">
        <f t="shared" si="0"/>
        <v>short-haul flights</v>
      </c>
      <c r="E61" s="2">
        <f t="shared" si="4"/>
        <v>43185</v>
      </c>
      <c r="F61" s="28">
        <f t="shared" si="5"/>
        <v>2.2534722222222223</v>
      </c>
      <c r="H61" s="28">
        <f t="shared" si="1"/>
        <v>2.3784722222222223</v>
      </c>
      <c r="I61">
        <f t="shared" si="2"/>
        <v>0</v>
      </c>
      <c r="J61">
        <f t="shared" si="3"/>
        <v>0</v>
      </c>
      <c r="K61" t="s">
        <v>1422</v>
      </c>
      <c r="R61" t="s">
        <v>2169</v>
      </c>
      <c r="S61" t="s">
        <v>1958</v>
      </c>
      <c r="T61" t="s">
        <v>2170</v>
      </c>
      <c r="U61" t="s">
        <v>2171</v>
      </c>
      <c r="V61" t="s">
        <v>2172</v>
      </c>
      <c r="W61" t="s">
        <v>1908</v>
      </c>
      <c r="AF61" t="s">
        <v>2173</v>
      </c>
    </row>
    <row r="62" spans="1:32">
      <c r="A62" t="s">
        <v>1213</v>
      </c>
      <c r="B62" s="1" t="s">
        <v>37</v>
      </c>
      <c r="C62" t="s">
        <v>1893</v>
      </c>
      <c r="D62" s="1" t="str">
        <f>CONCATENATE("middle","-","haul"," ","flights")</f>
        <v>middle-haul flights</v>
      </c>
      <c r="E62" s="2">
        <f t="shared" si="4"/>
        <v>43205</v>
      </c>
      <c r="F62" s="28">
        <f t="shared" si="5"/>
        <v>2.291666666666667</v>
      </c>
      <c r="H62" s="28">
        <f t="shared" si="1"/>
        <v>2.5833333333333335</v>
      </c>
      <c r="I62">
        <f t="shared" si="2"/>
        <v>1</v>
      </c>
      <c r="J62">
        <f t="shared" si="3"/>
        <v>1</v>
      </c>
      <c r="K62" t="s">
        <v>1423</v>
      </c>
      <c r="R62" t="s">
        <v>2174</v>
      </c>
      <c r="S62" t="s">
        <v>1904</v>
      </c>
      <c r="T62" t="s">
        <v>2175</v>
      </c>
      <c r="U62" t="s">
        <v>2176</v>
      </c>
      <c r="V62" t="s">
        <v>2177</v>
      </c>
      <c r="W62" t="s">
        <v>1908</v>
      </c>
      <c r="AD62" t="s">
        <v>1908</v>
      </c>
      <c r="AF62" t="s">
        <v>2178</v>
      </c>
    </row>
    <row r="63" spans="1:32">
      <c r="A63" t="s">
        <v>1214</v>
      </c>
      <c r="B63" s="1" t="s">
        <v>37</v>
      </c>
      <c r="C63" t="s">
        <v>1625</v>
      </c>
      <c r="D63" s="1" t="str">
        <f t="shared" ref="D63:D126" si="6">CONCATENATE("middle","-","haul"," ","flights")</f>
        <v>middle-haul flights</v>
      </c>
      <c r="E63" s="2">
        <f t="shared" si="4"/>
        <v>43225</v>
      </c>
      <c r="F63" s="28">
        <f t="shared" si="5"/>
        <v>2.3298611111111116</v>
      </c>
      <c r="H63" s="28">
        <f t="shared" si="1"/>
        <v>2.6215277777777781</v>
      </c>
      <c r="I63">
        <f t="shared" si="2"/>
        <v>1</v>
      </c>
      <c r="J63">
        <f t="shared" si="3"/>
        <v>1</v>
      </c>
      <c r="K63" t="s">
        <v>1424</v>
      </c>
      <c r="R63" t="s">
        <v>2179</v>
      </c>
      <c r="S63" t="s">
        <v>1930</v>
      </c>
      <c r="T63" t="s">
        <v>2180</v>
      </c>
      <c r="U63" t="s">
        <v>2181</v>
      </c>
      <c r="V63" t="s">
        <v>2182</v>
      </c>
      <c r="AA63" t="s">
        <v>1908</v>
      </c>
      <c r="AF63" t="s">
        <v>2183</v>
      </c>
    </row>
    <row r="64" spans="1:32">
      <c r="A64" t="s">
        <v>1215</v>
      </c>
      <c r="B64" s="1" t="s">
        <v>37</v>
      </c>
      <c r="C64" t="s">
        <v>1631</v>
      </c>
      <c r="D64" s="1" t="str">
        <f t="shared" si="6"/>
        <v>middle-haul flights</v>
      </c>
      <c r="E64" s="2">
        <f t="shared" si="4"/>
        <v>43245</v>
      </c>
      <c r="F64" s="28">
        <f t="shared" si="5"/>
        <v>2.3680555555555562</v>
      </c>
      <c r="H64" s="28">
        <f t="shared" si="1"/>
        <v>2.6597222222222228</v>
      </c>
      <c r="I64">
        <f t="shared" si="2"/>
        <v>1</v>
      </c>
      <c r="J64">
        <f t="shared" si="3"/>
        <v>1</v>
      </c>
      <c r="K64" t="s">
        <v>1425</v>
      </c>
      <c r="R64" t="s">
        <v>2184</v>
      </c>
      <c r="S64" t="s">
        <v>1904</v>
      </c>
      <c r="T64" t="s">
        <v>2185</v>
      </c>
      <c r="U64" t="s">
        <v>2186</v>
      </c>
      <c r="V64" t="s">
        <v>2187</v>
      </c>
      <c r="AD64" t="s">
        <v>1908</v>
      </c>
    </row>
    <row r="65" spans="1:32">
      <c r="A65" t="s">
        <v>1216</v>
      </c>
      <c r="B65" s="1" t="s">
        <v>37</v>
      </c>
      <c r="C65" t="s">
        <v>1892</v>
      </c>
      <c r="D65" s="1" t="str">
        <f t="shared" si="6"/>
        <v>middle-haul flights</v>
      </c>
      <c r="E65" s="2">
        <f t="shared" si="4"/>
        <v>43265</v>
      </c>
      <c r="F65" s="28">
        <f t="shared" si="5"/>
        <v>2.4062500000000009</v>
      </c>
      <c r="H65" s="28">
        <f t="shared" si="1"/>
        <v>2.6979166666666674</v>
      </c>
      <c r="I65">
        <f t="shared" si="2"/>
        <v>1</v>
      </c>
      <c r="J65">
        <f t="shared" si="3"/>
        <v>1</v>
      </c>
      <c r="K65" t="s">
        <v>1426</v>
      </c>
      <c r="R65" t="s">
        <v>2188</v>
      </c>
      <c r="S65" t="s">
        <v>1904</v>
      </c>
      <c r="T65" t="s">
        <v>2189</v>
      </c>
      <c r="U65" t="s">
        <v>2190</v>
      </c>
      <c r="V65" t="s">
        <v>2191</v>
      </c>
      <c r="AD65" t="s">
        <v>1908</v>
      </c>
      <c r="AF65" t="s">
        <v>2192</v>
      </c>
    </row>
    <row r="66" spans="1:32">
      <c r="A66" t="s">
        <v>1217</v>
      </c>
      <c r="B66" s="1" t="s">
        <v>37</v>
      </c>
      <c r="C66" t="s">
        <v>1891</v>
      </c>
      <c r="D66" s="1" t="str">
        <f t="shared" si="6"/>
        <v>middle-haul flights</v>
      </c>
      <c r="E66" s="2">
        <f t="shared" si="4"/>
        <v>43285</v>
      </c>
      <c r="F66" s="28">
        <f t="shared" si="5"/>
        <v>2.4444444444444455</v>
      </c>
      <c r="H66" s="28">
        <f t="shared" si="1"/>
        <v>2.736111111111112</v>
      </c>
      <c r="I66">
        <f t="shared" si="2"/>
        <v>1</v>
      </c>
      <c r="J66">
        <f t="shared" si="3"/>
        <v>1</v>
      </c>
      <c r="K66" t="s">
        <v>1427</v>
      </c>
      <c r="R66" t="s">
        <v>2193</v>
      </c>
      <c r="S66" t="s">
        <v>1914</v>
      </c>
      <c r="T66" t="s">
        <v>2194</v>
      </c>
      <c r="U66" t="s">
        <v>2195</v>
      </c>
      <c r="V66" t="s">
        <v>2196</v>
      </c>
      <c r="W66" t="s">
        <v>1908</v>
      </c>
      <c r="AF66" t="s">
        <v>2197</v>
      </c>
    </row>
    <row r="67" spans="1:32">
      <c r="A67" t="s">
        <v>1218</v>
      </c>
      <c r="B67" s="1" t="s">
        <v>37</v>
      </c>
      <c r="C67" t="s">
        <v>1890</v>
      </c>
      <c r="D67" s="1" t="str">
        <f t="shared" si="6"/>
        <v>middle-haul flights</v>
      </c>
      <c r="E67" s="2">
        <f t="shared" si="4"/>
        <v>43305</v>
      </c>
      <c r="F67" s="28">
        <f t="shared" si="5"/>
        <v>2.4826388888888902</v>
      </c>
      <c r="H67" s="28">
        <f t="shared" ref="H67:H130" si="7">IF(D67=CONCATENATE("short","-","haul"," ","flights"),F67+"03:00:00",(IF(D67=CONCATENATE("middle","-","haul"," ","flights"),F67+"07:00:00",F67+"12:00:00")))</f>
        <v>2.7743055555555567</v>
      </c>
      <c r="I67">
        <f t="shared" ref="I67:I130" si="8">IF(D67=CONCATENATE("short","-","haul"," ","flights"),0,(IF(D67=CONCATENATE("middle","-","haul"," ","flights"),1,2)))</f>
        <v>1</v>
      </c>
      <c r="J67">
        <f t="shared" ref="J67:J130" si="9">IF(D67=CONCATENATE("short","-","haul"," ","flights"),0,(IF(D67=CONCATENATE("middle","-","haul"," ","flights"),1,2)))</f>
        <v>1</v>
      </c>
      <c r="K67" t="s">
        <v>1428</v>
      </c>
      <c r="R67" t="s">
        <v>2198</v>
      </c>
      <c r="S67" t="s">
        <v>1904</v>
      </c>
      <c r="T67" t="s">
        <v>2199</v>
      </c>
      <c r="U67" t="s">
        <v>2200</v>
      </c>
      <c r="V67" t="s">
        <v>2201</v>
      </c>
      <c r="X67" t="s">
        <v>1908</v>
      </c>
      <c r="Y67" t="s">
        <v>1908</v>
      </c>
      <c r="AD67" t="s">
        <v>1908</v>
      </c>
      <c r="AF67" t="s">
        <v>2202</v>
      </c>
    </row>
    <row r="68" spans="1:32">
      <c r="A68" t="s">
        <v>1219</v>
      </c>
      <c r="B68" s="1" t="s">
        <v>37</v>
      </c>
      <c r="C68" t="s">
        <v>1889</v>
      </c>
      <c r="D68" s="1" t="str">
        <f t="shared" si="6"/>
        <v>middle-haul flights</v>
      </c>
      <c r="E68" s="2">
        <f t="shared" ref="E68:E94" si="10">E67+20</f>
        <v>43325</v>
      </c>
      <c r="F68" s="28">
        <f t="shared" ref="F68:F131" si="11">F67+"00:55:00"</f>
        <v>2.5208333333333348</v>
      </c>
      <c r="H68" s="28">
        <f t="shared" si="7"/>
        <v>2.8125000000000013</v>
      </c>
      <c r="I68">
        <f t="shared" si="8"/>
        <v>1</v>
      </c>
      <c r="J68">
        <f t="shared" si="9"/>
        <v>1</v>
      </c>
      <c r="K68" t="s">
        <v>1429</v>
      </c>
      <c r="R68" t="s">
        <v>2203</v>
      </c>
      <c r="S68" t="s">
        <v>1940</v>
      </c>
      <c r="T68" t="s">
        <v>2204</v>
      </c>
      <c r="U68" t="s">
        <v>2205</v>
      </c>
      <c r="V68" t="s">
        <v>2206</v>
      </c>
      <c r="W68" t="s">
        <v>1908</v>
      </c>
      <c r="Z68" t="s">
        <v>1908</v>
      </c>
      <c r="AA68" t="s">
        <v>1908</v>
      </c>
      <c r="AE68" t="s">
        <v>1908</v>
      </c>
      <c r="AF68" t="s">
        <v>2207</v>
      </c>
    </row>
    <row r="69" spans="1:32">
      <c r="A69" t="s">
        <v>1220</v>
      </c>
      <c r="B69" s="1" t="s">
        <v>37</v>
      </c>
      <c r="C69" t="s">
        <v>1656</v>
      </c>
      <c r="D69" s="1" t="str">
        <f t="shared" si="6"/>
        <v>middle-haul flights</v>
      </c>
      <c r="E69" s="2">
        <f t="shared" si="10"/>
        <v>43345</v>
      </c>
      <c r="F69" s="28">
        <f t="shared" si="11"/>
        <v>2.5590277777777795</v>
      </c>
      <c r="H69" s="28">
        <f t="shared" si="7"/>
        <v>2.850694444444446</v>
      </c>
      <c r="I69">
        <f t="shared" si="8"/>
        <v>1</v>
      </c>
      <c r="J69">
        <f t="shared" si="9"/>
        <v>1</v>
      </c>
      <c r="K69" t="s">
        <v>1430</v>
      </c>
      <c r="R69" t="s">
        <v>1723</v>
      </c>
      <c r="S69" t="s">
        <v>2208</v>
      </c>
      <c r="T69" t="s">
        <v>1725</v>
      </c>
      <c r="U69" t="s">
        <v>1726</v>
      </c>
      <c r="V69" t="s">
        <v>1727</v>
      </c>
      <c r="X69" t="s">
        <v>1908</v>
      </c>
      <c r="AE69" t="s">
        <v>1895</v>
      </c>
      <c r="AF69" t="s">
        <v>2209</v>
      </c>
    </row>
    <row r="70" spans="1:32">
      <c r="A70" t="s">
        <v>1221</v>
      </c>
      <c r="B70" s="1" t="s">
        <v>37</v>
      </c>
      <c r="C70" t="s">
        <v>1662</v>
      </c>
      <c r="D70" s="1" t="str">
        <f t="shared" si="6"/>
        <v>middle-haul flights</v>
      </c>
      <c r="E70" s="2">
        <f t="shared" si="10"/>
        <v>43365</v>
      </c>
      <c r="F70" s="28">
        <f t="shared" si="11"/>
        <v>2.5972222222222241</v>
      </c>
      <c r="H70" s="28">
        <f t="shared" si="7"/>
        <v>2.8888888888888906</v>
      </c>
      <c r="I70">
        <f t="shared" si="8"/>
        <v>1</v>
      </c>
      <c r="J70">
        <f t="shared" si="9"/>
        <v>1</v>
      </c>
      <c r="K70" t="s">
        <v>1431</v>
      </c>
      <c r="R70" t="s">
        <v>2210</v>
      </c>
      <c r="S70" t="s">
        <v>1996</v>
      </c>
      <c r="T70" t="s">
        <v>2211</v>
      </c>
      <c r="U70" t="s">
        <v>2212</v>
      </c>
      <c r="V70" t="s">
        <v>2213</v>
      </c>
      <c r="X70" t="s">
        <v>1908</v>
      </c>
      <c r="AF70" t="s">
        <v>2214</v>
      </c>
    </row>
    <row r="71" spans="1:32">
      <c r="A71" t="s">
        <v>1222</v>
      </c>
      <c r="B71" s="1" t="s">
        <v>37</v>
      </c>
      <c r="C71" t="s">
        <v>1667</v>
      </c>
      <c r="D71" s="1" t="str">
        <f t="shared" si="6"/>
        <v>middle-haul flights</v>
      </c>
      <c r="E71" s="2">
        <f t="shared" si="10"/>
        <v>43385</v>
      </c>
      <c r="F71" s="28">
        <f t="shared" si="11"/>
        <v>2.6354166666666687</v>
      </c>
      <c r="H71" s="28">
        <f t="shared" si="7"/>
        <v>2.9270833333333353</v>
      </c>
      <c r="I71">
        <f t="shared" si="8"/>
        <v>1</v>
      </c>
      <c r="J71">
        <f t="shared" si="9"/>
        <v>1</v>
      </c>
      <c r="K71" t="s">
        <v>1432</v>
      </c>
      <c r="R71" t="s">
        <v>2215</v>
      </c>
      <c r="S71" t="s">
        <v>1914</v>
      </c>
      <c r="T71" t="s">
        <v>2216</v>
      </c>
      <c r="U71" t="s">
        <v>2217</v>
      </c>
      <c r="V71" t="s">
        <v>2218</v>
      </c>
      <c r="W71" t="s">
        <v>1908</v>
      </c>
      <c r="Y71" t="s">
        <v>1908</v>
      </c>
      <c r="Z71" t="s">
        <v>1908</v>
      </c>
      <c r="AE71" t="s">
        <v>1895</v>
      </c>
      <c r="AF71" t="s">
        <v>2219</v>
      </c>
    </row>
    <row r="72" spans="1:32">
      <c r="A72" t="s">
        <v>1223</v>
      </c>
      <c r="B72" s="1" t="s">
        <v>37</v>
      </c>
      <c r="C72" t="s">
        <v>1672</v>
      </c>
      <c r="D72" s="1" t="str">
        <f t="shared" si="6"/>
        <v>middle-haul flights</v>
      </c>
      <c r="E72" s="2">
        <f t="shared" si="10"/>
        <v>43405</v>
      </c>
      <c r="F72" s="28">
        <f t="shared" si="11"/>
        <v>2.6736111111111134</v>
      </c>
      <c r="H72" s="28">
        <f t="shared" si="7"/>
        <v>2.9652777777777799</v>
      </c>
      <c r="I72">
        <f t="shared" si="8"/>
        <v>1</v>
      </c>
      <c r="J72">
        <f t="shared" si="9"/>
        <v>1</v>
      </c>
      <c r="K72" t="s">
        <v>1433</v>
      </c>
      <c r="R72" t="s">
        <v>2220</v>
      </c>
      <c r="S72" t="s">
        <v>1930</v>
      </c>
      <c r="T72" t="s">
        <v>2221</v>
      </c>
      <c r="U72" t="s">
        <v>2222</v>
      </c>
      <c r="V72" t="s">
        <v>2223</v>
      </c>
      <c r="W72" t="s">
        <v>1895</v>
      </c>
      <c r="AA72" t="s">
        <v>1908</v>
      </c>
      <c r="AF72" t="s">
        <v>2224</v>
      </c>
    </row>
    <row r="73" spans="1:32">
      <c r="A73" t="s">
        <v>1224</v>
      </c>
      <c r="B73" s="1" t="s">
        <v>37</v>
      </c>
      <c r="C73" t="s">
        <v>1678</v>
      </c>
      <c r="D73" s="1" t="str">
        <f t="shared" si="6"/>
        <v>middle-haul flights</v>
      </c>
      <c r="E73" s="2">
        <f t="shared" si="10"/>
        <v>43425</v>
      </c>
      <c r="F73" s="28">
        <f t="shared" si="11"/>
        <v>2.711805555555558</v>
      </c>
      <c r="H73" s="28">
        <f t="shared" si="7"/>
        <v>3.0034722222222245</v>
      </c>
      <c r="I73">
        <f t="shared" si="8"/>
        <v>1</v>
      </c>
      <c r="J73">
        <f t="shared" si="9"/>
        <v>1</v>
      </c>
      <c r="K73" t="s">
        <v>1434</v>
      </c>
      <c r="R73" t="s">
        <v>2225</v>
      </c>
      <c r="S73" t="s">
        <v>2226</v>
      </c>
      <c r="T73" t="s">
        <v>2227</v>
      </c>
      <c r="U73" t="s">
        <v>2228</v>
      </c>
      <c r="V73" t="s">
        <v>2229</v>
      </c>
      <c r="W73" t="s">
        <v>1908</v>
      </c>
      <c r="X73" t="s">
        <v>1895</v>
      </c>
      <c r="AA73" t="s">
        <v>1908</v>
      </c>
      <c r="AF73" t="s">
        <v>2230</v>
      </c>
    </row>
    <row r="74" spans="1:32">
      <c r="A74" t="s">
        <v>1225</v>
      </c>
      <c r="B74" s="1" t="s">
        <v>37</v>
      </c>
      <c r="C74" t="s">
        <v>1888</v>
      </c>
      <c r="D74" s="1" t="str">
        <f t="shared" si="6"/>
        <v>middle-haul flights</v>
      </c>
      <c r="E74" s="2">
        <f t="shared" si="10"/>
        <v>43445</v>
      </c>
      <c r="F74" s="28">
        <f t="shared" si="11"/>
        <v>2.7500000000000027</v>
      </c>
      <c r="H74" s="28">
        <f t="shared" si="7"/>
        <v>3.0416666666666692</v>
      </c>
      <c r="I74">
        <f t="shared" si="8"/>
        <v>1</v>
      </c>
      <c r="J74">
        <f t="shared" si="9"/>
        <v>1</v>
      </c>
      <c r="K74" t="s">
        <v>1435</v>
      </c>
      <c r="R74" t="s">
        <v>2231</v>
      </c>
    </row>
    <row r="75" spans="1:32">
      <c r="A75" t="s">
        <v>1226</v>
      </c>
      <c r="B75" s="1" t="s">
        <v>37</v>
      </c>
      <c r="C75" t="s">
        <v>1887</v>
      </c>
      <c r="D75" s="1" t="str">
        <f t="shared" si="6"/>
        <v>middle-haul flights</v>
      </c>
      <c r="E75" s="2">
        <f t="shared" si="10"/>
        <v>43465</v>
      </c>
      <c r="F75" s="28">
        <f t="shared" si="11"/>
        <v>2.7881944444444473</v>
      </c>
      <c r="H75" s="28">
        <f t="shared" si="7"/>
        <v>3.0798611111111138</v>
      </c>
      <c r="I75">
        <f t="shared" si="8"/>
        <v>1</v>
      </c>
      <c r="J75">
        <f t="shared" si="9"/>
        <v>1</v>
      </c>
      <c r="K75" t="s">
        <v>1436</v>
      </c>
      <c r="R75" t="s">
        <v>2232</v>
      </c>
      <c r="S75" t="s">
        <v>2233</v>
      </c>
      <c r="T75" t="s">
        <v>2234</v>
      </c>
      <c r="U75" t="s">
        <v>2235</v>
      </c>
      <c r="W75" t="s">
        <v>1895</v>
      </c>
      <c r="AE75" t="s">
        <v>2236</v>
      </c>
    </row>
    <row r="76" spans="1:32">
      <c r="A76" t="s">
        <v>1227</v>
      </c>
      <c r="B76" s="1" t="s">
        <v>37</v>
      </c>
      <c r="C76" t="s">
        <v>1693</v>
      </c>
      <c r="D76" s="1" t="str">
        <f t="shared" si="6"/>
        <v>middle-haul flights</v>
      </c>
      <c r="E76" s="2">
        <f t="shared" si="10"/>
        <v>43485</v>
      </c>
      <c r="F76" s="28">
        <f t="shared" si="11"/>
        <v>2.8263888888888919</v>
      </c>
      <c r="H76" s="28">
        <f t="shared" si="7"/>
        <v>3.1180555555555585</v>
      </c>
      <c r="I76">
        <f t="shared" si="8"/>
        <v>1</v>
      </c>
      <c r="J76">
        <f t="shared" si="9"/>
        <v>1</v>
      </c>
      <c r="K76" t="s">
        <v>1437</v>
      </c>
      <c r="R76" t="s">
        <v>2237</v>
      </c>
      <c r="S76" t="s">
        <v>1958</v>
      </c>
      <c r="T76" t="s">
        <v>2238</v>
      </c>
      <c r="U76" t="s">
        <v>2239</v>
      </c>
      <c r="V76" t="s">
        <v>2240</v>
      </c>
      <c r="Y76" t="s">
        <v>1908</v>
      </c>
      <c r="AF76" t="s">
        <v>2241</v>
      </c>
    </row>
    <row r="77" spans="1:32">
      <c r="A77" t="s">
        <v>1228</v>
      </c>
      <c r="B77" s="1" t="s">
        <v>37</v>
      </c>
      <c r="C77" t="s">
        <v>1886</v>
      </c>
      <c r="D77" s="1" t="str">
        <f t="shared" si="6"/>
        <v>middle-haul flights</v>
      </c>
      <c r="E77" s="2">
        <f t="shared" si="10"/>
        <v>43505</v>
      </c>
      <c r="F77" s="28">
        <f t="shared" si="11"/>
        <v>2.8645833333333366</v>
      </c>
      <c r="H77" s="28">
        <f t="shared" si="7"/>
        <v>3.1562500000000031</v>
      </c>
      <c r="I77">
        <f t="shared" si="8"/>
        <v>1</v>
      </c>
      <c r="J77">
        <f t="shared" si="9"/>
        <v>1</v>
      </c>
      <c r="K77" t="s">
        <v>1438</v>
      </c>
      <c r="R77" t="s">
        <v>2242</v>
      </c>
      <c r="S77" t="s">
        <v>1904</v>
      </c>
      <c r="T77" t="s">
        <v>2243</v>
      </c>
      <c r="U77" t="s">
        <v>2244</v>
      </c>
      <c r="V77" t="s">
        <v>2245</v>
      </c>
      <c r="W77" t="s">
        <v>1908</v>
      </c>
      <c r="Y77" t="s">
        <v>1908</v>
      </c>
      <c r="AD77" t="s">
        <v>1908</v>
      </c>
      <c r="AF77" t="s">
        <v>2246</v>
      </c>
    </row>
    <row r="78" spans="1:32">
      <c r="A78" t="s">
        <v>1229</v>
      </c>
      <c r="B78" s="1" t="s">
        <v>37</v>
      </c>
      <c r="C78" t="s">
        <v>1885</v>
      </c>
      <c r="D78" s="1" t="str">
        <f t="shared" si="6"/>
        <v>middle-haul flights</v>
      </c>
      <c r="E78" s="2">
        <f t="shared" si="10"/>
        <v>43525</v>
      </c>
      <c r="F78" s="28">
        <f t="shared" si="11"/>
        <v>2.9027777777777812</v>
      </c>
      <c r="H78" s="28">
        <f t="shared" si="7"/>
        <v>3.1944444444444478</v>
      </c>
      <c r="I78">
        <f t="shared" si="8"/>
        <v>1</v>
      </c>
      <c r="J78">
        <f t="shared" si="9"/>
        <v>1</v>
      </c>
      <c r="K78" t="s">
        <v>1439</v>
      </c>
      <c r="R78" t="s">
        <v>2247</v>
      </c>
      <c r="S78" t="s">
        <v>1904</v>
      </c>
      <c r="T78" t="s">
        <v>2248</v>
      </c>
      <c r="U78" t="s">
        <v>2249</v>
      </c>
      <c r="V78" t="s">
        <v>2250</v>
      </c>
      <c r="W78" t="s">
        <v>1908</v>
      </c>
      <c r="Y78" t="s">
        <v>1908</v>
      </c>
      <c r="Z78" t="s">
        <v>1895</v>
      </c>
      <c r="AD78" t="s">
        <v>1908</v>
      </c>
      <c r="AF78" t="s">
        <v>2251</v>
      </c>
    </row>
    <row r="79" spans="1:32">
      <c r="A79" t="s">
        <v>1230</v>
      </c>
      <c r="B79" s="1" t="s">
        <v>37</v>
      </c>
      <c r="C79" t="s">
        <v>1884</v>
      </c>
      <c r="D79" s="1" t="str">
        <f t="shared" si="6"/>
        <v>middle-haul flights</v>
      </c>
      <c r="E79" s="2">
        <f t="shared" si="10"/>
        <v>43545</v>
      </c>
      <c r="F79" s="28">
        <f t="shared" si="11"/>
        <v>2.9409722222222259</v>
      </c>
      <c r="H79" s="28">
        <f t="shared" si="7"/>
        <v>3.2326388888888924</v>
      </c>
      <c r="I79">
        <f t="shared" si="8"/>
        <v>1</v>
      </c>
      <c r="J79">
        <f t="shared" si="9"/>
        <v>1</v>
      </c>
      <c r="K79" t="s">
        <v>1440</v>
      </c>
      <c r="R79" t="s">
        <v>2252</v>
      </c>
      <c r="S79" t="s">
        <v>1914</v>
      </c>
      <c r="T79" t="s">
        <v>2253</v>
      </c>
      <c r="U79" t="s">
        <v>2254</v>
      </c>
      <c r="V79" t="s">
        <v>2255</v>
      </c>
      <c r="W79" t="s">
        <v>1908</v>
      </c>
    </row>
    <row r="80" spans="1:32">
      <c r="A80" t="s">
        <v>1231</v>
      </c>
      <c r="B80" s="1" t="s">
        <v>37</v>
      </c>
      <c r="C80" t="s">
        <v>1712</v>
      </c>
      <c r="D80" s="1" t="str">
        <f t="shared" si="6"/>
        <v>middle-haul flights</v>
      </c>
      <c r="E80" s="2">
        <f t="shared" si="10"/>
        <v>43565</v>
      </c>
      <c r="F80" s="28">
        <f t="shared" si="11"/>
        <v>2.9791666666666705</v>
      </c>
      <c r="H80" s="28">
        <f t="shared" si="7"/>
        <v>3.270833333333337</v>
      </c>
      <c r="I80">
        <f t="shared" si="8"/>
        <v>1</v>
      </c>
      <c r="J80">
        <f t="shared" si="9"/>
        <v>1</v>
      </c>
      <c r="K80" t="s">
        <v>1441</v>
      </c>
      <c r="R80" t="s">
        <v>2256</v>
      </c>
      <c r="S80" t="s">
        <v>1914</v>
      </c>
      <c r="T80" t="s">
        <v>2257</v>
      </c>
      <c r="U80" t="s">
        <v>2258</v>
      </c>
      <c r="V80" t="s">
        <v>2259</v>
      </c>
      <c r="W80" t="s">
        <v>1908</v>
      </c>
      <c r="Y80" t="s">
        <v>1908</v>
      </c>
      <c r="Z80" t="s">
        <v>1895</v>
      </c>
      <c r="AA80" t="s">
        <v>1908</v>
      </c>
      <c r="AF80" t="s">
        <v>2260</v>
      </c>
    </row>
    <row r="81" spans="1:32">
      <c r="A81" t="s">
        <v>1232</v>
      </c>
      <c r="B81" s="1" t="s">
        <v>37</v>
      </c>
      <c r="C81" t="s">
        <v>1717</v>
      </c>
      <c r="D81" s="1" t="str">
        <f t="shared" si="6"/>
        <v>middle-haul flights</v>
      </c>
      <c r="E81" s="2">
        <f t="shared" si="10"/>
        <v>43585</v>
      </c>
      <c r="F81" s="28">
        <f t="shared" si="11"/>
        <v>3.0173611111111152</v>
      </c>
      <c r="H81" s="28">
        <f t="shared" si="7"/>
        <v>3.3090277777777817</v>
      </c>
      <c r="I81">
        <f t="shared" si="8"/>
        <v>1</v>
      </c>
      <c r="J81">
        <f t="shared" si="9"/>
        <v>1</v>
      </c>
      <c r="K81" t="s">
        <v>1442</v>
      </c>
      <c r="R81" t="s">
        <v>2261</v>
      </c>
      <c r="S81" t="s">
        <v>1958</v>
      </c>
      <c r="T81" t="s">
        <v>2262</v>
      </c>
      <c r="U81" t="s">
        <v>2263</v>
      </c>
      <c r="V81" t="s">
        <v>2264</v>
      </c>
      <c r="W81" t="s">
        <v>1908</v>
      </c>
      <c r="Y81" t="s">
        <v>1908</v>
      </c>
      <c r="AF81" t="s">
        <v>2265</v>
      </c>
    </row>
    <row r="82" spans="1:32">
      <c r="A82" t="s">
        <v>1233</v>
      </c>
      <c r="B82" s="1" t="s">
        <v>37</v>
      </c>
      <c r="C82" t="s">
        <v>1883</v>
      </c>
      <c r="D82" s="1" t="str">
        <f t="shared" si="6"/>
        <v>middle-haul flights</v>
      </c>
      <c r="E82" s="2">
        <f t="shared" si="10"/>
        <v>43605</v>
      </c>
      <c r="F82" s="28">
        <f t="shared" si="11"/>
        <v>3.0555555555555598</v>
      </c>
      <c r="H82" s="28">
        <f t="shared" si="7"/>
        <v>3.3472222222222263</v>
      </c>
      <c r="I82">
        <f t="shared" si="8"/>
        <v>1</v>
      </c>
      <c r="J82">
        <f t="shared" si="9"/>
        <v>1</v>
      </c>
      <c r="K82" t="s">
        <v>1443</v>
      </c>
      <c r="R82" t="s">
        <v>2266</v>
      </c>
      <c r="S82" t="s">
        <v>1914</v>
      </c>
      <c r="T82" t="s">
        <v>2267</v>
      </c>
      <c r="U82" t="s">
        <v>2268</v>
      </c>
      <c r="V82" t="s">
        <v>2269</v>
      </c>
      <c r="W82" t="s">
        <v>1908</v>
      </c>
      <c r="X82" t="s">
        <v>1908</v>
      </c>
      <c r="Y82" t="s">
        <v>1908</v>
      </c>
      <c r="Z82" t="s">
        <v>1908</v>
      </c>
      <c r="AA82" t="s">
        <v>1908</v>
      </c>
      <c r="AE82" t="s">
        <v>1895</v>
      </c>
      <c r="AF82" t="s">
        <v>2270</v>
      </c>
    </row>
    <row r="83" spans="1:32">
      <c r="A83" t="s">
        <v>1234</v>
      </c>
      <c r="B83" s="1" t="s">
        <v>37</v>
      </c>
      <c r="C83" t="s">
        <v>1727</v>
      </c>
      <c r="D83" s="1" t="str">
        <f t="shared" si="6"/>
        <v>middle-haul flights</v>
      </c>
      <c r="E83" s="2">
        <f t="shared" si="10"/>
        <v>43625</v>
      </c>
      <c r="F83" s="28">
        <f t="shared" si="11"/>
        <v>3.0937500000000044</v>
      </c>
      <c r="H83" s="28">
        <f t="shared" si="7"/>
        <v>3.385416666666671</v>
      </c>
      <c r="I83">
        <f t="shared" si="8"/>
        <v>1</v>
      </c>
      <c r="J83">
        <f t="shared" si="9"/>
        <v>1</v>
      </c>
      <c r="K83" t="s">
        <v>1444</v>
      </c>
      <c r="R83" t="s">
        <v>2266</v>
      </c>
      <c r="S83" t="s">
        <v>1914</v>
      </c>
      <c r="T83" t="s">
        <v>2271</v>
      </c>
      <c r="U83" t="s">
        <v>2272</v>
      </c>
      <c r="V83" t="s">
        <v>2273</v>
      </c>
      <c r="W83" t="s">
        <v>1895</v>
      </c>
    </row>
    <row r="84" spans="1:32">
      <c r="A84" t="s">
        <v>1235</v>
      </c>
      <c r="B84" s="1" t="s">
        <v>37</v>
      </c>
      <c r="C84" t="s">
        <v>1732</v>
      </c>
      <c r="D84" s="1" t="str">
        <f t="shared" si="6"/>
        <v>middle-haul flights</v>
      </c>
      <c r="E84" s="2">
        <f t="shared" si="10"/>
        <v>43645</v>
      </c>
      <c r="F84" s="28">
        <f t="shared" si="11"/>
        <v>3.1319444444444491</v>
      </c>
      <c r="H84" s="28">
        <f t="shared" si="7"/>
        <v>3.4236111111111156</v>
      </c>
      <c r="I84">
        <f t="shared" si="8"/>
        <v>1</v>
      </c>
      <c r="J84">
        <f t="shared" si="9"/>
        <v>1</v>
      </c>
      <c r="K84" t="s">
        <v>1445</v>
      </c>
      <c r="R84" t="s">
        <v>2274</v>
      </c>
      <c r="S84" t="s">
        <v>1914</v>
      </c>
      <c r="T84" t="s">
        <v>2275</v>
      </c>
      <c r="U84" t="s">
        <v>2276</v>
      </c>
      <c r="V84" t="s">
        <v>2277</v>
      </c>
      <c r="W84" t="s">
        <v>1908</v>
      </c>
    </row>
    <row r="85" spans="1:32">
      <c r="A85" t="s">
        <v>1236</v>
      </c>
      <c r="B85" s="1" t="s">
        <v>37</v>
      </c>
      <c r="C85" t="s">
        <v>1737</v>
      </c>
      <c r="D85" s="1" t="str">
        <f t="shared" si="6"/>
        <v>middle-haul flights</v>
      </c>
      <c r="E85" s="2">
        <f t="shared" si="10"/>
        <v>43665</v>
      </c>
      <c r="F85" s="28">
        <f t="shared" si="11"/>
        <v>3.1701388888888937</v>
      </c>
      <c r="H85" s="28">
        <f t="shared" si="7"/>
        <v>3.4618055555555602</v>
      </c>
      <c r="I85">
        <f t="shared" si="8"/>
        <v>1</v>
      </c>
      <c r="J85">
        <f t="shared" si="9"/>
        <v>1</v>
      </c>
      <c r="K85" t="s">
        <v>1446</v>
      </c>
      <c r="R85" t="s">
        <v>2278</v>
      </c>
      <c r="S85" t="s">
        <v>1914</v>
      </c>
      <c r="T85" t="s">
        <v>2279</v>
      </c>
      <c r="U85" t="s">
        <v>2280</v>
      </c>
      <c r="V85" t="s">
        <v>2281</v>
      </c>
      <c r="W85" t="s">
        <v>1908</v>
      </c>
      <c r="AF85" t="s">
        <v>2282</v>
      </c>
    </row>
    <row r="86" spans="1:32">
      <c r="A86" t="s">
        <v>1237</v>
      </c>
      <c r="B86" s="1" t="s">
        <v>37</v>
      </c>
      <c r="C86" t="s">
        <v>1742</v>
      </c>
      <c r="D86" s="1" t="str">
        <f t="shared" si="6"/>
        <v>middle-haul flights</v>
      </c>
      <c r="E86" s="2">
        <f t="shared" si="10"/>
        <v>43685</v>
      </c>
      <c r="F86" s="28">
        <f t="shared" si="11"/>
        <v>3.2083333333333384</v>
      </c>
      <c r="H86" s="28">
        <f t="shared" si="7"/>
        <v>3.5000000000000049</v>
      </c>
      <c r="I86">
        <f t="shared" si="8"/>
        <v>1</v>
      </c>
      <c r="J86">
        <f t="shared" si="9"/>
        <v>1</v>
      </c>
      <c r="K86" t="s">
        <v>1447</v>
      </c>
      <c r="R86" t="s">
        <v>2283</v>
      </c>
      <c r="S86" t="s">
        <v>1914</v>
      </c>
      <c r="T86" t="s">
        <v>2284</v>
      </c>
      <c r="U86" t="s">
        <v>2285</v>
      </c>
      <c r="V86" t="s">
        <v>2286</v>
      </c>
      <c r="W86" t="s">
        <v>1908</v>
      </c>
    </row>
    <row r="87" spans="1:32">
      <c r="A87" t="s">
        <v>1238</v>
      </c>
      <c r="B87" s="1" t="s">
        <v>37</v>
      </c>
      <c r="C87" t="s">
        <v>1746</v>
      </c>
      <c r="D87" s="1" t="str">
        <f t="shared" si="6"/>
        <v>middle-haul flights</v>
      </c>
      <c r="E87" s="2">
        <f t="shared" si="10"/>
        <v>43705</v>
      </c>
      <c r="F87" s="28">
        <f t="shared" si="11"/>
        <v>3.246527777777783</v>
      </c>
      <c r="H87" s="28">
        <f t="shared" si="7"/>
        <v>3.5381944444444495</v>
      </c>
      <c r="I87">
        <f t="shared" si="8"/>
        <v>1</v>
      </c>
      <c r="J87">
        <f t="shared" si="9"/>
        <v>1</v>
      </c>
      <c r="K87" t="s">
        <v>1448</v>
      </c>
      <c r="R87" t="s">
        <v>2287</v>
      </c>
      <c r="S87" t="s">
        <v>1969</v>
      </c>
      <c r="T87" t="s">
        <v>2288</v>
      </c>
      <c r="U87" t="s">
        <v>2289</v>
      </c>
      <c r="V87" t="s">
        <v>2290</v>
      </c>
      <c r="W87" t="s">
        <v>1908</v>
      </c>
      <c r="Y87" t="s">
        <v>1908</v>
      </c>
      <c r="AA87" t="s">
        <v>1908</v>
      </c>
      <c r="AF87" t="s">
        <v>2291</v>
      </c>
    </row>
    <row r="88" spans="1:32">
      <c r="A88" t="s">
        <v>1239</v>
      </c>
      <c r="B88" s="1" t="s">
        <v>37</v>
      </c>
      <c r="C88" t="s">
        <v>1751</v>
      </c>
      <c r="D88" s="1" t="str">
        <f t="shared" si="6"/>
        <v>middle-haul flights</v>
      </c>
      <c r="E88" s="2">
        <f t="shared" si="10"/>
        <v>43725</v>
      </c>
      <c r="F88" s="28">
        <f t="shared" si="11"/>
        <v>3.2847222222222276</v>
      </c>
      <c r="H88" s="28">
        <f t="shared" si="7"/>
        <v>3.5763888888888942</v>
      </c>
      <c r="I88">
        <f t="shared" si="8"/>
        <v>1</v>
      </c>
      <c r="J88">
        <f t="shared" si="9"/>
        <v>1</v>
      </c>
      <c r="K88" t="s">
        <v>1449</v>
      </c>
      <c r="R88" t="s">
        <v>2292</v>
      </c>
      <c r="S88" t="s">
        <v>1914</v>
      </c>
      <c r="T88" t="s">
        <v>2293</v>
      </c>
      <c r="U88" t="s">
        <v>2294</v>
      </c>
      <c r="V88" t="s">
        <v>2295</v>
      </c>
      <c r="W88" t="s">
        <v>1908</v>
      </c>
    </row>
    <row r="89" spans="1:32">
      <c r="A89" t="s">
        <v>1240</v>
      </c>
      <c r="B89" s="1" t="s">
        <v>37</v>
      </c>
      <c r="C89" t="s">
        <v>1882</v>
      </c>
      <c r="D89" s="1" t="str">
        <f t="shared" si="6"/>
        <v>middle-haul flights</v>
      </c>
      <c r="E89" s="2">
        <f t="shared" si="10"/>
        <v>43745</v>
      </c>
      <c r="F89" s="28">
        <f t="shared" si="11"/>
        <v>3.3229166666666723</v>
      </c>
      <c r="H89" s="28">
        <f t="shared" si="7"/>
        <v>3.6145833333333388</v>
      </c>
      <c r="I89">
        <f t="shared" si="8"/>
        <v>1</v>
      </c>
      <c r="J89">
        <f t="shared" si="9"/>
        <v>1</v>
      </c>
      <c r="K89" t="s">
        <v>1450</v>
      </c>
      <c r="R89" t="s">
        <v>2296</v>
      </c>
      <c r="S89" t="s">
        <v>1940</v>
      </c>
      <c r="T89" t="s">
        <v>2297</v>
      </c>
      <c r="U89" t="s">
        <v>2298</v>
      </c>
      <c r="V89" t="s">
        <v>2299</v>
      </c>
      <c r="Z89" t="s">
        <v>1908</v>
      </c>
    </row>
    <row r="90" spans="1:32">
      <c r="A90" t="s">
        <v>1241</v>
      </c>
      <c r="B90" s="1" t="s">
        <v>37</v>
      </c>
      <c r="C90" t="s">
        <v>1761</v>
      </c>
      <c r="D90" s="1" t="str">
        <f t="shared" si="6"/>
        <v>middle-haul flights</v>
      </c>
      <c r="E90" s="2">
        <f t="shared" si="10"/>
        <v>43765</v>
      </c>
      <c r="F90" s="28">
        <f t="shared" si="11"/>
        <v>3.3611111111111169</v>
      </c>
      <c r="H90" s="28">
        <f t="shared" si="7"/>
        <v>3.6527777777777835</v>
      </c>
      <c r="I90">
        <f t="shared" si="8"/>
        <v>1</v>
      </c>
      <c r="J90">
        <f t="shared" si="9"/>
        <v>1</v>
      </c>
      <c r="K90" t="s">
        <v>1451</v>
      </c>
      <c r="R90" t="s">
        <v>2300</v>
      </c>
      <c r="S90" t="s">
        <v>1914</v>
      </c>
      <c r="T90" t="s">
        <v>2301</v>
      </c>
      <c r="U90" t="s">
        <v>2302</v>
      </c>
      <c r="V90" t="s">
        <v>2303</v>
      </c>
      <c r="W90" t="s">
        <v>1908</v>
      </c>
    </row>
    <row r="91" spans="1:32">
      <c r="A91" t="s">
        <v>1242</v>
      </c>
      <c r="B91" s="1" t="s">
        <v>37</v>
      </c>
      <c r="C91" t="s">
        <v>1881</v>
      </c>
      <c r="D91" s="1" t="str">
        <f t="shared" si="6"/>
        <v>middle-haul flights</v>
      </c>
      <c r="E91" s="2">
        <f t="shared" si="10"/>
        <v>43785</v>
      </c>
      <c r="F91" s="28">
        <f t="shared" si="11"/>
        <v>3.3993055555555616</v>
      </c>
      <c r="H91" s="28">
        <f t="shared" si="7"/>
        <v>3.6909722222222281</v>
      </c>
      <c r="I91">
        <f t="shared" si="8"/>
        <v>1</v>
      </c>
      <c r="J91">
        <f t="shared" si="9"/>
        <v>1</v>
      </c>
      <c r="K91" t="s">
        <v>1452</v>
      </c>
      <c r="R91" t="s">
        <v>2304</v>
      </c>
      <c r="S91" t="s">
        <v>1958</v>
      </c>
      <c r="T91" t="s">
        <v>2305</v>
      </c>
      <c r="U91" t="s">
        <v>2306</v>
      </c>
      <c r="V91" t="s">
        <v>2307</v>
      </c>
      <c r="Y91" t="s">
        <v>1908</v>
      </c>
    </row>
    <row r="92" spans="1:32">
      <c r="A92" t="s">
        <v>1243</v>
      </c>
      <c r="B92" s="1" t="s">
        <v>37</v>
      </c>
      <c r="C92" t="s">
        <v>1770</v>
      </c>
      <c r="D92" s="1" t="str">
        <f t="shared" si="6"/>
        <v>middle-haul flights</v>
      </c>
      <c r="E92" s="2">
        <f t="shared" si="10"/>
        <v>43805</v>
      </c>
      <c r="F92" s="28">
        <f t="shared" si="11"/>
        <v>3.4375000000000062</v>
      </c>
      <c r="H92" s="28">
        <f t="shared" si="7"/>
        <v>3.7291666666666727</v>
      </c>
      <c r="I92">
        <f t="shared" si="8"/>
        <v>1</v>
      </c>
      <c r="J92">
        <f t="shared" si="9"/>
        <v>1</v>
      </c>
      <c r="K92" t="s">
        <v>1453</v>
      </c>
      <c r="R92" t="s">
        <v>2308</v>
      </c>
      <c r="S92" t="s">
        <v>1969</v>
      </c>
      <c r="T92" t="s">
        <v>2309</v>
      </c>
      <c r="U92" t="s">
        <v>2310</v>
      </c>
      <c r="V92" t="s">
        <v>2311</v>
      </c>
      <c r="X92" t="s">
        <v>1908</v>
      </c>
    </row>
    <row r="93" spans="1:32">
      <c r="A93" t="s">
        <v>1244</v>
      </c>
      <c r="B93" s="1" t="s">
        <v>37</v>
      </c>
      <c r="C93" t="s">
        <v>1774</v>
      </c>
      <c r="D93" s="1" t="str">
        <f t="shared" si="6"/>
        <v>middle-haul flights</v>
      </c>
      <c r="E93" s="2">
        <f t="shared" si="10"/>
        <v>43825</v>
      </c>
      <c r="F93" s="28">
        <f t="shared" si="11"/>
        <v>3.4756944444444509</v>
      </c>
      <c r="H93" s="28">
        <f t="shared" si="7"/>
        <v>3.7673611111111174</v>
      </c>
      <c r="I93">
        <f t="shared" si="8"/>
        <v>1</v>
      </c>
      <c r="J93">
        <f t="shared" si="9"/>
        <v>1</v>
      </c>
      <c r="K93" t="s">
        <v>1454</v>
      </c>
      <c r="R93" t="s">
        <v>2312</v>
      </c>
      <c r="S93" t="s">
        <v>1940</v>
      </c>
      <c r="T93" t="s">
        <v>2313</v>
      </c>
      <c r="U93" t="s">
        <v>2314</v>
      </c>
      <c r="V93" t="s">
        <v>2315</v>
      </c>
      <c r="W93" t="s">
        <v>1895</v>
      </c>
      <c r="Z93" t="s">
        <v>1908</v>
      </c>
    </row>
    <row r="94" spans="1:32">
      <c r="A94" t="s">
        <v>1245</v>
      </c>
      <c r="B94" s="1" t="s">
        <v>37</v>
      </c>
      <c r="C94" t="s">
        <v>1778</v>
      </c>
      <c r="D94" s="1" t="str">
        <f t="shared" si="6"/>
        <v>middle-haul flights</v>
      </c>
      <c r="E94" s="2">
        <f t="shared" si="10"/>
        <v>43845</v>
      </c>
      <c r="F94" s="28">
        <f t="shared" si="11"/>
        <v>3.5138888888888955</v>
      </c>
      <c r="H94" s="28">
        <f t="shared" si="7"/>
        <v>3.805555555555562</v>
      </c>
      <c r="I94">
        <f t="shared" si="8"/>
        <v>1</v>
      </c>
      <c r="J94">
        <f t="shared" si="9"/>
        <v>1</v>
      </c>
      <c r="K94" t="s">
        <v>1455</v>
      </c>
      <c r="R94" t="s">
        <v>49</v>
      </c>
      <c r="S94" t="s">
        <v>2316</v>
      </c>
      <c r="T94" t="s">
        <v>2317</v>
      </c>
      <c r="U94" t="s">
        <v>2318</v>
      </c>
      <c r="V94" t="s">
        <v>2319</v>
      </c>
      <c r="X94" t="s">
        <v>1895</v>
      </c>
      <c r="AF94" t="s">
        <v>2320</v>
      </c>
    </row>
    <row r="95" spans="1:32">
      <c r="A95" t="s">
        <v>1246</v>
      </c>
      <c r="B95" s="1" t="s">
        <v>37</v>
      </c>
      <c r="C95" t="s">
        <v>1783</v>
      </c>
      <c r="D95" s="1" t="str">
        <f t="shared" si="6"/>
        <v>middle-haul flights</v>
      </c>
      <c r="E95" s="2">
        <f>E2+15</f>
        <v>42020</v>
      </c>
      <c r="F95" s="28">
        <f t="shared" si="11"/>
        <v>3.5520833333333401</v>
      </c>
      <c r="H95" s="28">
        <f t="shared" si="7"/>
        <v>3.8437500000000067</v>
      </c>
      <c r="I95">
        <f t="shared" si="8"/>
        <v>1</v>
      </c>
      <c r="J95">
        <f t="shared" si="9"/>
        <v>1</v>
      </c>
      <c r="K95" t="s">
        <v>1456</v>
      </c>
      <c r="R95" t="s">
        <v>49</v>
      </c>
      <c r="S95" t="s">
        <v>2316</v>
      </c>
      <c r="T95" t="s">
        <v>1768</v>
      </c>
      <c r="U95" t="s">
        <v>1769</v>
      </c>
      <c r="V95" t="s">
        <v>2321</v>
      </c>
      <c r="X95" t="s">
        <v>1895</v>
      </c>
      <c r="AF95" t="s">
        <v>2322</v>
      </c>
    </row>
    <row r="96" spans="1:32">
      <c r="A96" t="s">
        <v>1247</v>
      </c>
      <c r="B96" s="1" t="s">
        <v>37</v>
      </c>
      <c r="C96" t="s">
        <v>1787</v>
      </c>
      <c r="D96" s="1" t="str">
        <f t="shared" si="6"/>
        <v>middle-haul flights</v>
      </c>
      <c r="E96" s="2">
        <f t="shared" ref="E96:E159" si="12">E3+15</f>
        <v>42040</v>
      </c>
      <c r="F96" s="28">
        <f t="shared" si="11"/>
        <v>3.5902777777777848</v>
      </c>
      <c r="H96" s="28">
        <f t="shared" si="7"/>
        <v>3.8819444444444513</v>
      </c>
      <c r="I96">
        <f t="shared" si="8"/>
        <v>1</v>
      </c>
      <c r="J96">
        <f t="shared" si="9"/>
        <v>1</v>
      </c>
      <c r="K96" t="s">
        <v>1457</v>
      </c>
      <c r="R96" t="s">
        <v>2323</v>
      </c>
      <c r="S96" t="s">
        <v>2324</v>
      </c>
      <c r="T96" t="s">
        <v>2325</v>
      </c>
      <c r="U96" t="s">
        <v>2326</v>
      </c>
      <c r="V96" t="s">
        <v>2327</v>
      </c>
      <c r="W96" t="s">
        <v>1895</v>
      </c>
      <c r="Y96" t="s">
        <v>1908</v>
      </c>
    </row>
    <row r="97" spans="1:32">
      <c r="A97" t="s">
        <v>1248</v>
      </c>
      <c r="B97" s="1" t="s">
        <v>37</v>
      </c>
      <c r="C97" t="s">
        <v>1880</v>
      </c>
      <c r="D97" s="1" t="str">
        <f t="shared" si="6"/>
        <v>middle-haul flights</v>
      </c>
      <c r="E97" s="2">
        <f t="shared" si="12"/>
        <v>42060</v>
      </c>
      <c r="F97" s="28">
        <f t="shared" si="11"/>
        <v>3.6284722222222294</v>
      </c>
      <c r="H97" s="28">
        <f t="shared" si="7"/>
        <v>3.9201388888888959</v>
      </c>
      <c r="I97">
        <f t="shared" si="8"/>
        <v>1</v>
      </c>
      <c r="J97">
        <f t="shared" si="9"/>
        <v>1</v>
      </c>
      <c r="K97" t="s">
        <v>1458</v>
      </c>
      <c r="R97" t="s">
        <v>2328</v>
      </c>
      <c r="S97" t="s">
        <v>2328</v>
      </c>
      <c r="T97" t="s">
        <v>2329</v>
      </c>
      <c r="U97" t="s">
        <v>2330</v>
      </c>
      <c r="V97" t="s">
        <v>2331</v>
      </c>
      <c r="W97" t="s">
        <v>1908</v>
      </c>
      <c r="Y97" t="s">
        <v>1908</v>
      </c>
      <c r="Z97" t="s">
        <v>1895</v>
      </c>
      <c r="AA97" t="s">
        <v>1908</v>
      </c>
      <c r="AF97" t="s">
        <v>2332</v>
      </c>
    </row>
    <row r="98" spans="1:32">
      <c r="A98" t="s">
        <v>1249</v>
      </c>
      <c r="B98" s="1" t="s">
        <v>37</v>
      </c>
      <c r="C98" t="s">
        <v>1795</v>
      </c>
      <c r="D98" s="1" t="str">
        <f t="shared" si="6"/>
        <v>middle-haul flights</v>
      </c>
      <c r="E98" s="2">
        <f t="shared" si="12"/>
        <v>42080</v>
      </c>
      <c r="F98" s="28">
        <f t="shared" si="11"/>
        <v>3.6666666666666741</v>
      </c>
      <c r="H98" s="28">
        <f t="shared" si="7"/>
        <v>3.9583333333333406</v>
      </c>
      <c r="I98">
        <f t="shared" si="8"/>
        <v>1</v>
      </c>
      <c r="J98">
        <f t="shared" si="9"/>
        <v>1</v>
      </c>
      <c r="K98" t="s">
        <v>1459</v>
      </c>
      <c r="R98" t="s">
        <v>2333</v>
      </c>
      <c r="S98" t="s">
        <v>1940</v>
      </c>
      <c r="T98" t="s">
        <v>2334</v>
      </c>
      <c r="U98" t="s">
        <v>2335</v>
      </c>
      <c r="V98" t="s">
        <v>2336</v>
      </c>
      <c r="Z98" t="s">
        <v>1908</v>
      </c>
    </row>
    <row r="99" spans="1:32">
      <c r="A99" t="s">
        <v>1250</v>
      </c>
      <c r="B99" s="1" t="s">
        <v>37</v>
      </c>
      <c r="C99" t="s">
        <v>1879</v>
      </c>
      <c r="D99" s="1" t="str">
        <f t="shared" si="6"/>
        <v>middle-haul flights</v>
      </c>
      <c r="E99" s="2">
        <f t="shared" si="12"/>
        <v>42100</v>
      </c>
      <c r="F99" s="28">
        <f t="shared" si="11"/>
        <v>3.7048611111111187</v>
      </c>
      <c r="H99" s="28">
        <f t="shared" si="7"/>
        <v>3.9965277777777852</v>
      </c>
      <c r="I99">
        <f t="shared" si="8"/>
        <v>1</v>
      </c>
      <c r="J99">
        <f t="shared" si="9"/>
        <v>1</v>
      </c>
      <c r="K99" t="s">
        <v>1460</v>
      </c>
      <c r="R99" t="s">
        <v>2337</v>
      </c>
      <c r="S99" t="s">
        <v>1940</v>
      </c>
      <c r="T99" t="s">
        <v>2338</v>
      </c>
      <c r="U99" t="s">
        <v>2339</v>
      </c>
      <c r="V99" t="s">
        <v>2340</v>
      </c>
      <c r="W99" t="s">
        <v>1908</v>
      </c>
      <c r="Z99" t="s">
        <v>1895</v>
      </c>
    </row>
    <row r="100" spans="1:32">
      <c r="A100" t="s">
        <v>1251</v>
      </c>
      <c r="B100" s="1" t="s">
        <v>37</v>
      </c>
      <c r="C100" t="s">
        <v>1805</v>
      </c>
      <c r="D100" s="1" t="str">
        <f t="shared" si="6"/>
        <v>middle-haul flights</v>
      </c>
      <c r="E100" s="2">
        <f t="shared" si="12"/>
        <v>42120</v>
      </c>
      <c r="F100" s="28">
        <f t="shared" si="11"/>
        <v>3.7430555555555634</v>
      </c>
      <c r="H100" s="28">
        <f t="shared" si="7"/>
        <v>4.0347222222222303</v>
      </c>
      <c r="I100">
        <f t="shared" si="8"/>
        <v>1</v>
      </c>
      <c r="J100">
        <f t="shared" si="9"/>
        <v>1</v>
      </c>
      <c r="K100" t="s">
        <v>1461</v>
      </c>
      <c r="R100" t="s">
        <v>2341</v>
      </c>
      <c r="S100" t="s">
        <v>2342</v>
      </c>
      <c r="T100" t="s">
        <v>2343</v>
      </c>
      <c r="U100" t="s">
        <v>2344</v>
      </c>
      <c r="V100" t="s">
        <v>2345</v>
      </c>
      <c r="W100" t="s">
        <v>1908</v>
      </c>
      <c r="X100" t="s">
        <v>1895</v>
      </c>
      <c r="Y100" t="s">
        <v>1908</v>
      </c>
      <c r="AF100" t="s">
        <v>2346</v>
      </c>
    </row>
    <row r="101" spans="1:32">
      <c r="A101" t="s">
        <v>1252</v>
      </c>
      <c r="B101" s="1" t="s">
        <v>37</v>
      </c>
      <c r="C101" t="s">
        <v>1878</v>
      </c>
      <c r="D101" s="1" t="str">
        <f t="shared" si="6"/>
        <v>middle-haul flights</v>
      </c>
      <c r="E101" s="2">
        <f t="shared" si="12"/>
        <v>42140</v>
      </c>
      <c r="F101" s="28">
        <f t="shared" si="11"/>
        <v>3.781250000000008</v>
      </c>
      <c r="H101" s="28">
        <f t="shared" si="7"/>
        <v>4.072916666666675</v>
      </c>
      <c r="I101">
        <f t="shared" si="8"/>
        <v>1</v>
      </c>
      <c r="J101">
        <f t="shared" si="9"/>
        <v>1</v>
      </c>
      <c r="K101" t="s">
        <v>1462</v>
      </c>
      <c r="R101" t="s">
        <v>2347</v>
      </c>
      <c r="S101" t="s">
        <v>1940</v>
      </c>
      <c r="T101" t="s">
        <v>2348</v>
      </c>
      <c r="U101" t="s">
        <v>2349</v>
      </c>
      <c r="V101" t="s">
        <v>2350</v>
      </c>
      <c r="W101" t="s">
        <v>1895</v>
      </c>
      <c r="Z101" t="s">
        <v>1895</v>
      </c>
      <c r="AF101" t="s">
        <v>2351</v>
      </c>
    </row>
    <row r="102" spans="1:32">
      <c r="A102" t="s">
        <v>1253</v>
      </c>
      <c r="B102" s="1" t="s">
        <v>37</v>
      </c>
      <c r="C102" t="s">
        <v>1814</v>
      </c>
      <c r="D102" s="1" t="str">
        <f t="shared" si="6"/>
        <v>middle-haul flights</v>
      </c>
      <c r="E102" s="2">
        <f t="shared" si="12"/>
        <v>42160</v>
      </c>
      <c r="F102" s="28">
        <f t="shared" si="11"/>
        <v>3.8194444444444526</v>
      </c>
      <c r="H102" s="28">
        <f t="shared" si="7"/>
        <v>4.1111111111111196</v>
      </c>
      <c r="I102">
        <f t="shared" si="8"/>
        <v>1</v>
      </c>
      <c r="J102">
        <f t="shared" si="9"/>
        <v>1</v>
      </c>
      <c r="K102" t="s">
        <v>1463</v>
      </c>
      <c r="R102" t="s">
        <v>2352</v>
      </c>
      <c r="S102" t="s">
        <v>2353</v>
      </c>
      <c r="T102" t="s">
        <v>2354</v>
      </c>
      <c r="U102" t="s">
        <v>2355</v>
      </c>
      <c r="V102" t="s">
        <v>2356</v>
      </c>
      <c r="Y102" t="s">
        <v>1908</v>
      </c>
    </row>
    <row r="103" spans="1:32">
      <c r="A103" t="s">
        <v>1254</v>
      </c>
      <c r="B103" s="1" t="s">
        <v>37</v>
      </c>
      <c r="C103" t="s">
        <v>1877</v>
      </c>
      <c r="D103" s="1" t="str">
        <f t="shared" si="6"/>
        <v>middle-haul flights</v>
      </c>
      <c r="E103" s="2">
        <f t="shared" si="12"/>
        <v>42180</v>
      </c>
      <c r="F103" s="28">
        <f t="shared" si="11"/>
        <v>3.8576388888888973</v>
      </c>
      <c r="H103" s="28">
        <f t="shared" si="7"/>
        <v>4.1493055555555642</v>
      </c>
      <c r="I103">
        <f t="shared" si="8"/>
        <v>1</v>
      </c>
      <c r="J103">
        <f t="shared" si="9"/>
        <v>1</v>
      </c>
      <c r="K103" t="s">
        <v>1464</v>
      </c>
      <c r="R103" t="s">
        <v>2357</v>
      </c>
      <c r="S103" t="s">
        <v>1930</v>
      </c>
      <c r="T103" t="s">
        <v>2358</v>
      </c>
      <c r="U103" t="s">
        <v>2359</v>
      </c>
      <c r="V103" t="s">
        <v>2360</v>
      </c>
      <c r="W103" t="s">
        <v>1908</v>
      </c>
      <c r="AA103" t="s">
        <v>1908</v>
      </c>
    </row>
    <row r="104" spans="1:32">
      <c r="A104" t="s">
        <v>1255</v>
      </c>
      <c r="B104" s="1" t="s">
        <v>37</v>
      </c>
      <c r="C104" t="s">
        <v>1823</v>
      </c>
      <c r="D104" s="1" t="str">
        <f t="shared" si="6"/>
        <v>middle-haul flights</v>
      </c>
      <c r="E104" s="2">
        <f t="shared" si="12"/>
        <v>42200</v>
      </c>
      <c r="F104" s="28">
        <f t="shared" si="11"/>
        <v>3.8958333333333419</v>
      </c>
      <c r="H104" s="28">
        <f t="shared" si="7"/>
        <v>4.1875000000000089</v>
      </c>
      <c r="I104">
        <f t="shared" si="8"/>
        <v>1</v>
      </c>
      <c r="J104">
        <f t="shared" si="9"/>
        <v>1</v>
      </c>
      <c r="K104" t="s">
        <v>1465</v>
      </c>
      <c r="R104" t="s">
        <v>2361</v>
      </c>
      <c r="S104" t="s">
        <v>2361</v>
      </c>
      <c r="T104" t="s">
        <v>2362</v>
      </c>
      <c r="U104" t="s">
        <v>2363</v>
      </c>
      <c r="V104" t="s">
        <v>2364</v>
      </c>
      <c r="X104" t="s">
        <v>1895</v>
      </c>
      <c r="AF104" t="s">
        <v>2365</v>
      </c>
    </row>
    <row r="105" spans="1:32">
      <c r="A105" t="s">
        <v>1256</v>
      </c>
      <c r="B105" s="1" t="s">
        <v>37</v>
      </c>
      <c r="C105" t="s">
        <v>1828</v>
      </c>
      <c r="D105" s="1" t="str">
        <f t="shared" si="6"/>
        <v>middle-haul flights</v>
      </c>
      <c r="E105" s="2">
        <f t="shared" si="12"/>
        <v>42220</v>
      </c>
      <c r="F105" s="28">
        <f t="shared" si="11"/>
        <v>3.9340277777777866</v>
      </c>
      <c r="H105" s="28">
        <f t="shared" si="7"/>
        <v>4.2256944444444535</v>
      </c>
      <c r="I105">
        <f t="shared" si="8"/>
        <v>1</v>
      </c>
      <c r="J105">
        <f t="shared" si="9"/>
        <v>1</v>
      </c>
      <c r="K105" t="s">
        <v>1466</v>
      </c>
      <c r="R105" t="s">
        <v>2366</v>
      </c>
      <c r="S105" t="s">
        <v>1940</v>
      </c>
      <c r="T105" t="s">
        <v>2367</v>
      </c>
      <c r="U105" t="s">
        <v>2368</v>
      </c>
      <c r="V105" t="s">
        <v>2369</v>
      </c>
      <c r="W105" t="s">
        <v>1908</v>
      </c>
      <c r="Z105" t="s">
        <v>1908</v>
      </c>
      <c r="AF105" t="s">
        <v>2370</v>
      </c>
    </row>
    <row r="106" spans="1:32">
      <c r="A106" t="s">
        <v>1257</v>
      </c>
      <c r="B106" s="1" t="s">
        <v>37</v>
      </c>
      <c r="C106" t="s">
        <v>1876</v>
      </c>
      <c r="D106" s="1" t="str">
        <f t="shared" si="6"/>
        <v>middle-haul flights</v>
      </c>
      <c r="E106" s="2">
        <f t="shared" si="12"/>
        <v>42240</v>
      </c>
      <c r="F106" s="28">
        <f t="shared" si="11"/>
        <v>3.9722222222222312</v>
      </c>
      <c r="H106" s="28">
        <f t="shared" si="7"/>
        <v>4.2638888888888982</v>
      </c>
      <c r="I106">
        <f t="shared" si="8"/>
        <v>1</v>
      </c>
      <c r="J106">
        <f t="shared" si="9"/>
        <v>1</v>
      </c>
      <c r="K106" t="s">
        <v>1467</v>
      </c>
      <c r="R106" t="s">
        <v>2371</v>
      </c>
      <c r="S106" t="s">
        <v>2208</v>
      </c>
      <c r="T106" t="s">
        <v>2372</v>
      </c>
      <c r="U106" t="s">
        <v>2373</v>
      </c>
      <c r="V106" t="s">
        <v>2374</v>
      </c>
      <c r="X106" t="s">
        <v>1908</v>
      </c>
      <c r="AF106" t="s">
        <v>2375</v>
      </c>
    </row>
    <row r="107" spans="1:32">
      <c r="A107" t="s">
        <v>1258</v>
      </c>
      <c r="B107" s="1" t="s">
        <v>37</v>
      </c>
      <c r="C107" t="s">
        <v>1875</v>
      </c>
      <c r="D107" s="1" t="str">
        <f t="shared" si="6"/>
        <v>middle-haul flights</v>
      </c>
      <c r="E107" s="2">
        <f t="shared" si="12"/>
        <v>42260</v>
      </c>
      <c r="F107" s="28">
        <f t="shared" si="11"/>
        <v>4.0104166666666758</v>
      </c>
      <c r="H107" s="28">
        <f t="shared" si="7"/>
        <v>4.3020833333333428</v>
      </c>
      <c r="I107">
        <f t="shared" si="8"/>
        <v>1</v>
      </c>
      <c r="J107">
        <f t="shared" si="9"/>
        <v>1</v>
      </c>
      <c r="K107" t="s">
        <v>1468</v>
      </c>
      <c r="R107" t="s">
        <v>2376</v>
      </c>
      <c r="S107" t="s">
        <v>1969</v>
      </c>
      <c r="T107" t="s">
        <v>2377</v>
      </c>
      <c r="U107" t="s">
        <v>2378</v>
      </c>
      <c r="V107" t="s">
        <v>2379</v>
      </c>
      <c r="Y107" t="s">
        <v>1908</v>
      </c>
      <c r="AF107" t="s">
        <v>2380</v>
      </c>
    </row>
    <row r="108" spans="1:32">
      <c r="A108" t="s">
        <v>1259</v>
      </c>
      <c r="B108" s="1" t="s">
        <v>37</v>
      </c>
      <c r="C108" t="s">
        <v>1874</v>
      </c>
      <c r="D108" s="1" t="str">
        <f t="shared" si="6"/>
        <v>middle-haul flights</v>
      </c>
      <c r="E108" s="2">
        <f t="shared" si="12"/>
        <v>42280</v>
      </c>
      <c r="F108" s="28">
        <f t="shared" si="11"/>
        <v>4.0486111111111205</v>
      </c>
      <c r="H108" s="28">
        <f t="shared" si="7"/>
        <v>4.3402777777777874</v>
      </c>
      <c r="I108">
        <f t="shared" si="8"/>
        <v>1</v>
      </c>
      <c r="J108">
        <f t="shared" si="9"/>
        <v>1</v>
      </c>
      <c r="K108" t="s">
        <v>1469</v>
      </c>
      <c r="R108" t="s">
        <v>2381</v>
      </c>
      <c r="S108" t="s">
        <v>1914</v>
      </c>
      <c r="T108" t="s">
        <v>2382</v>
      </c>
      <c r="U108" t="s">
        <v>2383</v>
      </c>
      <c r="V108" t="s">
        <v>2384</v>
      </c>
      <c r="W108" t="s">
        <v>1908</v>
      </c>
    </row>
    <row r="109" spans="1:32">
      <c r="A109" t="s">
        <v>1260</v>
      </c>
      <c r="B109" s="1" t="s">
        <v>37</v>
      </c>
      <c r="C109" t="s">
        <v>1843</v>
      </c>
      <c r="D109" s="1" t="str">
        <f t="shared" si="6"/>
        <v>middle-haul flights</v>
      </c>
      <c r="E109" s="2">
        <f t="shared" si="12"/>
        <v>42300</v>
      </c>
      <c r="F109" s="28">
        <f t="shared" si="11"/>
        <v>4.0868055555555651</v>
      </c>
      <c r="H109" s="28">
        <f t="shared" si="7"/>
        <v>4.3784722222222321</v>
      </c>
      <c r="I109">
        <f t="shared" si="8"/>
        <v>1</v>
      </c>
      <c r="J109">
        <f t="shared" si="9"/>
        <v>1</v>
      </c>
      <c r="K109" t="s">
        <v>1470</v>
      </c>
      <c r="R109" t="s">
        <v>2385</v>
      </c>
      <c r="S109" t="s">
        <v>1898</v>
      </c>
      <c r="T109" t="s">
        <v>2386</v>
      </c>
      <c r="U109" t="s">
        <v>2387</v>
      </c>
      <c r="V109" t="s">
        <v>2388</v>
      </c>
      <c r="X109" t="s">
        <v>1908</v>
      </c>
    </row>
    <row r="110" spans="1:32">
      <c r="A110" t="s">
        <v>1261</v>
      </c>
      <c r="B110" s="1" t="s">
        <v>37</v>
      </c>
      <c r="C110" t="s">
        <v>1873</v>
      </c>
      <c r="D110" s="1" t="str">
        <f t="shared" si="6"/>
        <v>middle-haul flights</v>
      </c>
      <c r="E110" s="2">
        <f t="shared" si="12"/>
        <v>42320</v>
      </c>
      <c r="F110" s="28">
        <f t="shared" si="11"/>
        <v>4.1250000000000098</v>
      </c>
      <c r="H110" s="28">
        <f t="shared" si="7"/>
        <v>4.4166666666666767</v>
      </c>
      <c r="I110">
        <f t="shared" si="8"/>
        <v>1</v>
      </c>
      <c r="J110">
        <f t="shared" si="9"/>
        <v>1</v>
      </c>
      <c r="K110" t="s">
        <v>1471</v>
      </c>
      <c r="R110" t="s">
        <v>2389</v>
      </c>
      <c r="S110" t="s">
        <v>1898</v>
      </c>
      <c r="T110" t="s">
        <v>2390</v>
      </c>
      <c r="U110" t="s">
        <v>2391</v>
      </c>
      <c r="V110" t="s">
        <v>2392</v>
      </c>
      <c r="X110" t="s">
        <v>1895</v>
      </c>
      <c r="AE110" t="s">
        <v>1895</v>
      </c>
    </row>
    <row r="111" spans="1:32">
      <c r="A111" t="s">
        <v>1262</v>
      </c>
      <c r="B111" s="1" t="s">
        <v>37</v>
      </c>
      <c r="C111" t="s">
        <v>1851</v>
      </c>
      <c r="D111" s="1" t="str">
        <f t="shared" si="6"/>
        <v>middle-haul flights</v>
      </c>
      <c r="E111" s="2">
        <f t="shared" si="12"/>
        <v>42340</v>
      </c>
      <c r="F111" s="28">
        <f t="shared" si="11"/>
        <v>4.1631944444444544</v>
      </c>
      <c r="H111" s="28">
        <f t="shared" si="7"/>
        <v>4.4548611111111214</v>
      </c>
      <c r="I111">
        <f t="shared" si="8"/>
        <v>1</v>
      </c>
      <c r="J111">
        <f t="shared" si="9"/>
        <v>1</v>
      </c>
      <c r="K111" t="s">
        <v>1472</v>
      </c>
      <c r="R111" t="s">
        <v>2393</v>
      </c>
      <c r="S111" t="s">
        <v>1914</v>
      </c>
      <c r="T111" t="s">
        <v>2394</v>
      </c>
      <c r="U111" t="s">
        <v>2395</v>
      </c>
      <c r="V111" t="s">
        <v>2396</v>
      </c>
      <c r="W111" t="s">
        <v>1908</v>
      </c>
    </row>
    <row r="112" spans="1:32">
      <c r="A112" t="s">
        <v>1263</v>
      </c>
      <c r="B112" s="1" t="s">
        <v>37</v>
      </c>
      <c r="C112" t="s">
        <v>1872</v>
      </c>
      <c r="D112" s="1" t="str">
        <f t="shared" si="6"/>
        <v>middle-haul flights</v>
      </c>
      <c r="E112" s="2">
        <f t="shared" si="12"/>
        <v>42360</v>
      </c>
      <c r="F112" s="28">
        <f t="shared" si="11"/>
        <v>4.2013888888888991</v>
      </c>
      <c r="H112" s="28">
        <f t="shared" si="7"/>
        <v>4.493055555555566</v>
      </c>
      <c r="I112">
        <f t="shared" si="8"/>
        <v>1</v>
      </c>
      <c r="J112">
        <f t="shared" si="9"/>
        <v>1</v>
      </c>
      <c r="K112" t="s">
        <v>1473</v>
      </c>
      <c r="R112" t="s">
        <v>2397</v>
      </c>
      <c r="S112" t="s">
        <v>1904</v>
      </c>
      <c r="T112" t="s">
        <v>2398</v>
      </c>
      <c r="U112" t="s">
        <v>2399</v>
      </c>
      <c r="V112" t="s">
        <v>2400</v>
      </c>
      <c r="X112" t="s">
        <v>1895</v>
      </c>
      <c r="AD112" t="s">
        <v>1908</v>
      </c>
      <c r="AE112" t="s">
        <v>1895</v>
      </c>
      <c r="AF112" t="s">
        <v>2401</v>
      </c>
    </row>
    <row r="113" spans="1:32">
      <c r="A113" t="s">
        <v>1264</v>
      </c>
      <c r="B113" s="1" t="s">
        <v>37</v>
      </c>
      <c r="C113" t="s">
        <v>1859</v>
      </c>
      <c r="D113" s="1" t="str">
        <f t="shared" si="6"/>
        <v>middle-haul flights</v>
      </c>
      <c r="E113" s="2">
        <f t="shared" si="12"/>
        <v>42380</v>
      </c>
      <c r="F113" s="28">
        <f t="shared" si="11"/>
        <v>4.2395833333333437</v>
      </c>
      <c r="H113" s="28">
        <f t="shared" si="7"/>
        <v>4.5312500000000107</v>
      </c>
      <c r="I113">
        <f t="shared" si="8"/>
        <v>1</v>
      </c>
      <c r="J113">
        <f t="shared" si="9"/>
        <v>1</v>
      </c>
      <c r="K113" t="s">
        <v>1474</v>
      </c>
      <c r="R113" t="s">
        <v>2402</v>
      </c>
      <c r="S113" t="s">
        <v>2403</v>
      </c>
      <c r="T113" t="s">
        <v>2404</v>
      </c>
      <c r="U113" t="s">
        <v>2405</v>
      </c>
      <c r="V113" t="s">
        <v>2406</v>
      </c>
      <c r="AC113" t="s">
        <v>1895</v>
      </c>
      <c r="AF113" t="s">
        <v>2407</v>
      </c>
    </row>
    <row r="114" spans="1:32">
      <c r="A114" t="s">
        <v>1265</v>
      </c>
      <c r="B114" s="1" t="s">
        <v>37</v>
      </c>
      <c r="C114" t="s">
        <v>1863</v>
      </c>
      <c r="D114" s="1" t="str">
        <f t="shared" si="6"/>
        <v>middle-haul flights</v>
      </c>
      <c r="E114" s="2">
        <f t="shared" si="12"/>
        <v>42400</v>
      </c>
      <c r="F114" s="28">
        <f t="shared" si="11"/>
        <v>4.2777777777777883</v>
      </c>
      <c r="H114" s="28">
        <f t="shared" si="7"/>
        <v>4.5694444444444553</v>
      </c>
      <c r="I114">
        <f t="shared" si="8"/>
        <v>1</v>
      </c>
      <c r="J114">
        <f t="shared" si="9"/>
        <v>1</v>
      </c>
      <c r="K114" t="s">
        <v>1475</v>
      </c>
      <c r="R114" t="s">
        <v>2408</v>
      </c>
      <c r="S114" t="s">
        <v>2104</v>
      </c>
      <c r="T114" t="s">
        <v>2409</v>
      </c>
      <c r="U114" t="s">
        <v>2410</v>
      </c>
      <c r="V114" t="s">
        <v>2411</v>
      </c>
      <c r="X114" t="s">
        <v>1895</v>
      </c>
      <c r="AB114" t="s">
        <v>1908</v>
      </c>
      <c r="AC114" t="s">
        <v>1908</v>
      </c>
      <c r="AF114" t="s">
        <v>2412</v>
      </c>
    </row>
    <row r="115" spans="1:32">
      <c r="A115" t="s">
        <v>1266</v>
      </c>
      <c r="B115" s="1" t="s">
        <v>37</v>
      </c>
      <c r="C115" t="s">
        <v>1867</v>
      </c>
      <c r="D115" s="1" t="str">
        <f t="shared" si="6"/>
        <v>middle-haul flights</v>
      </c>
      <c r="E115" s="2">
        <f t="shared" si="12"/>
        <v>42420</v>
      </c>
      <c r="F115" s="28">
        <f t="shared" si="11"/>
        <v>4.315972222222233</v>
      </c>
      <c r="H115" s="28">
        <f t="shared" si="7"/>
        <v>4.6076388888888999</v>
      </c>
      <c r="I115">
        <f t="shared" si="8"/>
        <v>1</v>
      </c>
      <c r="J115">
        <f t="shared" si="9"/>
        <v>1</v>
      </c>
      <c r="K115" t="s">
        <v>1476</v>
      </c>
      <c r="R115" t="s">
        <v>2413</v>
      </c>
      <c r="S115" t="s">
        <v>1904</v>
      </c>
      <c r="T115" t="s">
        <v>2414</v>
      </c>
      <c r="U115" t="s">
        <v>2415</v>
      </c>
      <c r="V115" t="s">
        <v>2416</v>
      </c>
      <c r="AD115" t="s">
        <v>1908</v>
      </c>
      <c r="AF115" t="s">
        <v>2417</v>
      </c>
    </row>
    <row r="116" spans="1:32">
      <c r="A116" t="s">
        <v>1267</v>
      </c>
      <c r="B116" s="1" t="s">
        <v>37</v>
      </c>
      <c r="C116" t="s">
        <v>1871</v>
      </c>
      <c r="D116" s="1" t="str">
        <f t="shared" si="6"/>
        <v>middle-haul flights</v>
      </c>
      <c r="E116" s="2">
        <f t="shared" si="12"/>
        <v>42440</v>
      </c>
      <c r="F116" s="28">
        <f t="shared" si="11"/>
        <v>4.3541666666666776</v>
      </c>
      <c r="H116" s="28">
        <f t="shared" si="7"/>
        <v>4.6458333333333446</v>
      </c>
      <c r="I116">
        <f t="shared" si="8"/>
        <v>1</v>
      </c>
      <c r="J116">
        <f t="shared" si="9"/>
        <v>1</v>
      </c>
      <c r="K116" t="s">
        <v>1477</v>
      </c>
      <c r="R116" t="s">
        <v>2418</v>
      </c>
      <c r="S116" t="s">
        <v>1958</v>
      </c>
      <c r="T116" t="s">
        <v>2419</v>
      </c>
      <c r="U116" t="s">
        <v>2420</v>
      </c>
      <c r="V116" t="s">
        <v>2421</v>
      </c>
      <c r="Y116" t="s">
        <v>1908</v>
      </c>
    </row>
    <row r="117" spans="1:32">
      <c r="A117" t="s">
        <v>1268</v>
      </c>
      <c r="B117" s="1" t="s">
        <v>37</v>
      </c>
      <c r="C117" t="s">
        <v>1893</v>
      </c>
      <c r="D117" s="1" t="str">
        <f t="shared" si="6"/>
        <v>middle-haul flights</v>
      </c>
      <c r="E117" s="2">
        <f t="shared" si="12"/>
        <v>42460</v>
      </c>
      <c r="F117" s="28">
        <f t="shared" si="11"/>
        <v>4.3923611111111223</v>
      </c>
      <c r="H117" s="28">
        <f t="shared" si="7"/>
        <v>4.6840277777777892</v>
      </c>
      <c r="I117">
        <f t="shared" si="8"/>
        <v>1</v>
      </c>
      <c r="J117">
        <f t="shared" si="9"/>
        <v>1</v>
      </c>
      <c r="K117" t="s">
        <v>1478</v>
      </c>
      <c r="R117" t="s">
        <v>2422</v>
      </c>
      <c r="S117" t="s">
        <v>1958</v>
      </c>
      <c r="T117" t="s">
        <v>2423</v>
      </c>
      <c r="U117" t="s">
        <v>2424</v>
      </c>
      <c r="V117" t="s">
        <v>2425</v>
      </c>
      <c r="Y117" t="s">
        <v>1908</v>
      </c>
      <c r="AF117" t="s">
        <v>2426</v>
      </c>
    </row>
    <row r="118" spans="1:32">
      <c r="A118" t="s">
        <v>1269</v>
      </c>
      <c r="B118" s="1" t="s">
        <v>37</v>
      </c>
      <c r="C118" t="s">
        <v>1625</v>
      </c>
      <c r="D118" s="1" t="str">
        <f t="shared" si="6"/>
        <v>middle-haul flights</v>
      </c>
      <c r="E118" s="2">
        <f t="shared" si="12"/>
        <v>42480</v>
      </c>
      <c r="F118" s="28">
        <f t="shared" si="11"/>
        <v>4.4305555555555669</v>
      </c>
      <c r="H118" s="28">
        <f t="shared" si="7"/>
        <v>4.7222222222222339</v>
      </c>
      <c r="I118">
        <f t="shared" si="8"/>
        <v>1</v>
      </c>
      <c r="J118">
        <f t="shared" si="9"/>
        <v>1</v>
      </c>
      <c r="K118" t="s">
        <v>1479</v>
      </c>
      <c r="R118" t="s">
        <v>2427</v>
      </c>
      <c r="S118" t="s">
        <v>1969</v>
      </c>
      <c r="T118" t="s">
        <v>2428</v>
      </c>
      <c r="U118" t="s">
        <v>2429</v>
      </c>
      <c r="V118" t="s">
        <v>2430</v>
      </c>
      <c r="Y118" t="s">
        <v>1908</v>
      </c>
      <c r="AC118" t="s">
        <v>1908</v>
      </c>
    </row>
    <row r="119" spans="1:32">
      <c r="A119" t="s">
        <v>1270</v>
      </c>
      <c r="B119" s="1" t="s">
        <v>37</v>
      </c>
      <c r="C119" t="s">
        <v>1631</v>
      </c>
      <c r="D119" s="1" t="str">
        <f t="shared" si="6"/>
        <v>middle-haul flights</v>
      </c>
      <c r="E119" s="2">
        <f t="shared" si="12"/>
        <v>42500</v>
      </c>
      <c r="F119" s="28">
        <f t="shared" si="11"/>
        <v>4.4687500000000115</v>
      </c>
      <c r="H119" s="28">
        <f t="shared" si="7"/>
        <v>4.7604166666666785</v>
      </c>
      <c r="I119">
        <f t="shared" si="8"/>
        <v>1</v>
      </c>
      <c r="J119">
        <f t="shared" si="9"/>
        <v>1</v>
      </c>
      <c r="K119" t="s">
        <v>1480</v>
      </c>
      <c r="R119" t="s">
        <v>2431</v>
      </c>
      <c r="S119" t="s">
        <v>1969</v>
      </c>
      <c r="T119" t="s">
        <v>2428</v>
      </c>
      <c r="U119" t="s">
        <v>2432</v>
      </c>
      <c r="V119" t="s">
        <v>2433</v>
      </c>
      <c r="Y119" t="s">
        <v>1908</v>
      </c>
      <c r="AF119" t="s">
        <v>2434</v>
      </c>
    </row>
    <row r="120" spans="1:32">
      <c r="A120" t="s">
        <v>1271</v>
      </c>
      <c r="B120" s="1" t="s">
        <v>37</v>
      </c>
      <c r="C120" t="s">
        <v>1892</v>
      </c>
      <c r="D120" s="1" t="str">
        <f t="shared" si="6"/>
        <v>middle-haul flights</v>
      </c>
      <c r="E120" s="2">
        <f t="shared" si="12"/>
        <v>42520</v>
      </c>
      <c r="F120" s="28">
        <f t="shared" si="11"/>
        <v>4.5069444444444562</v>
      </c>
      <c r="H120" s="28">
        <f t="shared" si="7"/>
        <v>4.7986111111111232</v>
      </c>
      <c r="I120">
        <f t="shared" si="8"/>
        <v>1</v>
      </c>
      <c r="J120">
        <f t="shared" si="9"/>
        <v>1</v>
      </c>
      <c r="K120" t="s">
        <v>1481</v>
      </c>
      <c r="R120" t="s">
        <v>2435</v>
      </c>
      <c r="S120" t="s">
        <v>1969</v>
      </c>
      <c r="T120" t="s">
        <v>2436</v>
      </c>
      <c r="U120" t="s">
        <v>2437</v>
      </c>
      <c r="V120" t="s">
        <v>2438</v>
      </c>
      <c r="W120" t="s">
        <v>1908</v>
      </c>
      <c r="Y120" t="s">
        <v>1908</v>
      </c>
      <c r="AF120" t="s">
        <v>2439</v>
      </c>
    </row>
    <row r="121" spans="1:32">
      <c r="A121" t="s">
        <v>1272</v>
      </c>
      <c r="B121" s="1" t="s">
        <v>37</v>
      </c>
      <c r="C121" t="s">
        <v>1891</v>
      </c>
      <c r="D121" s="1" t="str">
        <f t="shared" si="6"/>
        <v>middle-haul flights</v>
      </c>
      <c r="E121" s="2">
        <f t="shared" si="12"/>
        <v>42540</v>
      </c>
      <c r="F121" s="28">
        <f t="shared" si="11"/>
        <v>4.5451388888889008</v>
      </c>
      <c r="H121" s="28">
        <f t="shared" si="7"/>
        <v>4.8368055555555678</v>
      </c>
      <c r="I121">
        <f t="shared" si="8"/>
        <v>1</v>
      </c>
      <c r="J121">
        <f t="shared" si="9"/>
        <v>1</v>
      </c>
      <c r="K121" t="s">
        <v>1482</v>
      </c>
      <c r="R121" t="s">
        <v>2440</v>
      </c>
      <c r="S121" t="s">
        <v>1958</v>
      </c>
      <c r="T121" t="s">
        <v>2441</v>
      </c>
      <c r="U121" t="s">
        <v>2442</v>
      </c>
      <c r="V121" t="s">
        <v>2443</v>
      </c>
      <c r="Y121" t="s">
        <v>1908</v>
      </c>
    </row>
    <row r="122" spans="1:32">
      <c r="A122" t="s">
        <v>1273</v>
      </c>
      <c r="B122" s="1" t="s">
        <v>37</v>
      </c>
      <c r="C122" t="s">
        <v>1890</v>
      </c>
      <c r="D122" s="1" t="str">
        <f t="shared" si="6"/>
        <v>middle-haul flights</v>
      </c>
      <c r="E122" s="2">
        <f t="shared" si="12"/>
        <v>42560</v>
      </c>
      <c r="F122" s="28">
        <f t="shared" si="11"/>
        <v>4.5833333333333455</v>
      </c>
      <c r="H122" s="28">
        <f t="shared" si="7"/>
        <v>4.8750000000000124</v>
      </c>
      <c r="I122">
        <f t="shared" si="8"/>
        <v>1</v>
      </c>
      <c r="J122">
        <f t="shared" si="9"/>
        <v>1</v>
      </c>
      <c r="K122" t="s">
        <v>1483</v>
      </c>
      <c r="R122" t="s">
        <v>2444</v>
      </c>
      <c r="S122" t="s">
        <v>2353</v>
      </c>
      <c r="T122" t="s">
        <v>2445</v>
      </c>
      <c r="U122" t="s">
        <v>2446</v>
      </c>
      <c r="V122" t="s">
        <v>2447</v>
      </c>
      <c r="W122" t="s">
        <v>1895</v>
      </c>
      <c r="Y122" t="s">
        <v>1895</v>
      </c>
    </row>
    <row r="123" spans="1:32">
      <c r="A123" t="s">
        <v>1274</v>
      </c>
      <c r="B123" s="1" t="s">
        <v>37</v>
      </c>
      <c r="C123" t="s">
        <v>1889</v>
      </c>
      <c r="D123" s="1" t="str">
        <f t="shared" si="6"/>
        <v>middle-haul flights</v>
      </c>
      <c r="E123" s="2">
        <f t="shared" si="12"/>
        <v>42580</v>
      </c>
      <c r="F123" s="28">
        <f t="shared" si="11"/>
        <v>4.6215277777777901</v>
      </c>
      <c r="H123" s="28">
        <f t="shared" si="7"/>
        <v>4.9131944444444571</v>
      </c>
      <c r="I123">
        <f t="shared" si="8"/>
        <v>1</v>
      </c>
      <c r="J123">
        <f t="shared" si="9"/>
        <v>1</v>
      </c>
      <c r="K123" t="s">
        <v>1484</v>
      </c>
      <c r="R123" t="s">
        <v>2448</v>
      </c>
      <c r="S123" t="s">
        <v>2005</v>
      </c>
      <c r="T123" t="s">
        <v>2449</v>
      </c>
      <c r="U123" t="s">
        <v>2450</v>
      </c>
      <c r="V123" t="s">
        <v>2451</v>
      </c>
      <c r="W123" t="s">
        <v>1908</v>
      </c>
      <c r="Y123" t="s">
        <v>1908</v>
      </c>
      <c r="AF123" t="s">
        <v>2452</v>
      </c>
    </row>
    <row r="124" spans="1:32">
      <c r="A124" t="s">
        <v>1275</v>
      </c>
      <c r="B124" s="1" t="s">
        <v>37</v>
      </c>
      <c r="C124" t="s">
        <v>1656</v>
      </c>
      <c r="D124" s="1" t="str">
        <f t="shared" si="6"/>
        <v>middle-haul flights</v>
      </c>
      <c r="E124" s="2">
        <f t="shared" si="12"/>
        <v>42600</v>
      </c>
      <c r="F124" s="28">
        <f t="shared" si="11"/>
        <v>4.6597222222222348</v>
      </c>
      <c r="H124" s="28">
        <f t="shared" si="7"/>
        <v>4.9513888888889017</v>
      </c>
      <c r="I124">
        <f t="shared" si="8"/>
        <v>1</v>
      </c>
      <c r="J124">
        <f t="shared" si="9"/>
        <v>1</v>
      </c>
      <c r="K124" t="s">
        <v>1485</v>
      </c>
      <c r="R124" t="s">
        <v>2453</v>
      </c>
      <c r="S124" t="s">
        <v>1969</v>
      </c>
      <c r="T124" t="s">
        <v>2454</v>
      </c>
      <c r="U124" t="s">
        <v>2455</v>
      </c>
      <c r="V124" t="s">
        <v>2456</v>
      </c>
      <c r="Y124" t="s">
        <v>1908</v>
      </c>
    </row>
    <row r="125" spans="1:32">
      <c r="A125" t="s">
        <v>1276</v>
      </c>
      <c r="B125" s="1" t="s">
        <v>37</v>
      </c>
      <c r="C125" t="s">
        <v>1662</v>
      </c>
      <c r="D125" s="1" t="str">
        <f t="shared" si="6"/>
        <v>middle-haul flights</v>
      </c>
      <c r="E125" s="2">
        <f t="shared" si="12"/>
        <v>42620</v>
      </c>
      <c r="F125" s="28">
        <f t="shared" si="11"/>
        <v>4.6979166666666794</v>
      </c>
      <c r="H125" s="28">
        <f t="shared" si="7"/>
        <v>4.9895833333333464</v>
      </c>
      <c r="I125">
        <f t="shared" si="8"/>
        <v>1</v>
      </c>
      <c r="J125">
        <f t="shared" si="9"/>
        <v>1</v>
      </c>
      <c r="K125" t="s">
        <v>1486</v>
      </c>
      <c r="R125" t="s">
        <v>2457</v>
      </c>
    </row>
    <row r="126" spans="1:32">
      <c r="A126" t="s">
        <v>1277</v>
      </c>
      <c r="B126" s="1" t="s">
        <v>37</v>
      </c>
      <c r="C126" t="s">
        <v>1667</v>
      </c>
      <c r="D126" s="1" t="str">
        <f t="shared" si="6"/>
        <v>middle-haul flights</v>
      </c>
      <c r="E126" s="2">
        <f t="shared" si="12"/>
        <v>42640</v>
      </c>
      <c r="F126" s="28">
        <f t="shared" si="11"/>
        <v>4.736111111111124</v>
      </c>
      <c r="H126" s="28">
        <f t="shared" si="7"/>
        <v>5.027777777777791</v>
      </c>
      <c r="I126">
        <f t="shared" si="8"/>
        <v>1</v>
      </c>
      <c r="J126">
        <f t="shared" si="9"/>
        <v>1</v>
      </c>
      <c r="K126" t="s">
        <v>1487</v>
      </c>
      <c r="R126" t="s">
        <v>2458</v>
      </c>
      <c r="S126" t="s">
        <v>2104</v>
      </c>
      <c r="T126" t="s">
        <v>2459</v>
      </c>
      <c r="U126" t="s">
        <v>2460</v>
      </c>
      <c r="V126" t="s">
        <v>2461</v>
      </c>
      <c r="X126" t="s">
        <v>1908</v>
      </c>
      <c r="AB126" t="s">
        <v>1895</v>
      </c>
      <c r="AF126" t="s">
        <v>2462</v>
      </c>
    </row>
    <row r="127" spans="1:32">
      <c r="A127" t="s">
        <v>1278</v>
      </c>
      <c r="B127" s="1" t="s">
        <v>37</v>
      </c>
      <c r="C127" t="s">
        <v>1672</v>
      </c>
      <c r="D127" s="1" t="str">
        <f t="shared" ref="D127:D167" si="13">CONCATENATE("middle","-","haul"," ","flights")</f>
        <v>middle-haul flights</v>
      </c>
      <c r="E127" s="2">
        <f t="shared" si="12"/>
        <v>42660</v>
      </c>
      <c r="F127" s="28">
        <f t="shared" si="11"/>
        <v>4.7743055555555687</v>
      </c>
      <c r="H127" s="28">
        <f t="shared" si="7"/>
        <v>5.0659722222222356</v>
      </c>
      <c r="I127">
        <f t="shared" si="8"/>
        <v>1</v>
      </c>
      <c r="J127">
        <f t="shared" si="9"/>
        <v>1</v>
      </c>
      <c r="K127" t="s">
        <v>1488</v>
      </c>
      <c r="R127" t="s">
        <v>2463</v>
      </c>
      <c r="S127" t="s">
        <v>2104</v>
      </c>
      <c r="T127" t="s">
        <v>2464</v>
      </c>
      <c r="U127" t="s">
        <v>2465</v>
      </c>
      <c r="V127" t="s">
        <v>2466</v>
      </c>
      <c r="X127" t="s">
        <v>1908</v>
      </c>
      <c r="AA127" t="s">
        <v>1908</v>
      </c>
      <c r="AB127" t="s">
        <v>1895</v>
      </c>
      <c r="AC127" t="s">
        <v>1908</v>
      </c>
    </row>
    <row r="128" spans="1:32">
      <c r="A128" t="s">
        <v>1279</v>
      </c>
      <c r="B128" s="1" t="s">
        <v>37</v>
      </c>
      <c r="C128" t="s">
        <v>1678</v>
      </c>
      <c r="D128" s="1" t="str">
        <f t="shared" si="13"/>
        <v>middle-haul flights</v>
      </c>
      <c r="E128" s="2">
        <f t="shared" si="12"/>
        <v>42680</v>
      </c>
      <c r="F128" s="28">
        <f t="shared" si="11"/>
        <v>4.8125000000000133</v>
      </c>
      <c r="H128" s="28">
        <f t="shared" si="7"/>
        <v>5.1041666666666803</v>
      </c>
      <c r="I128">
        <f t="shared" si="8"/>
        <v>1</v>
      </c>
      <c r="J128">
        <f t="shared" si="9"/>
        <v>1</v>
      </c>
      <c r="K128" t="s">
        <v>1489</v>
      </c>
      <c r="R128" t="s">
        <v>2467</v>
      </c>
      <c r="S128" t="s">
        <v>1940</v>
      </c>
      <c r="T128" t="s">
        <v>2468</v>
      </c>
      <c r="U128" t="s">
        <v>2469</v>
      </c>
      <c r="V128" t="s">
        <v>2470</v>
      </c>
      <c r="W128" t="s">
        <v>1908</v>
      </c>
    </row>
    <row r="129" spans="1:32">
      <c r="A129" t="s">
        <v>1280</v>
      </c>
      <c r="B129" s="1" t="s">
        <v>37</v>
      </c>
      <c r="C129" t="s">
        <v>1888</v>
      </c>
      <c r="D129" s="1" t="str">
        <f t="shared" si="13"/>
        <v>middle-haul flights</v>
      </c>
      <c r="E129" s="2">
        <f t="shared" si="12"/>
        <v>42700</v>
      </c>
      <c r="F129" s="28">
        <f t="shared" si="11"/>
        <v>4.850694444444458</v>
      </c>
      <c r="H129" s="28">
        <f t="shared" si="7"/>
        <v>5.1423611111111249</v>
      </c>
      <c r="I129">
        <f t="shared" si="8"/>
        <v>1</v>
      </c>
      <c r="J129">
        <f t="shared" si="9"/>
        <v>1</v>
      </c>
      <c r="K129" t="s">
        <v>1490</v>
      </c>
      <c r="R129" t="s">
        <v>2471</v>
      </c>
      <c r="S129" t="s">
        <v>1940</v>
      </c>
      <c r="T129" t="s">
        <v>2472</v>
      </c>
      <c r="U129" t="s">
        <v>2473</v>
      </c>
      <c r="V129" t="s">
        <v>2474</v>
      </c>
      <c r="W129" t="s">
        <v>1908</v>
      </c>
      <c r="Z129" t="s">
        <v>1908</v>
      </c>
      <c r="AF129" t="s">
        <v>2475</v>
      </c>
    </row>
    <row r="130" spans="1:32">
      <c r="A130" t="s">
        <v>1281</v>
      </c>
      <c r="B130" s="1" t="s">
        <v>37</v>
      </c>
      <c r="C130" t="s">
        <v>1887</v>
      </c>
      <c r="D130" s="1" t="str">
        <f t="shared" si="13"/>
        <v>middle-haul flights</v>
      </c>
      <c r="E130" s="2">
        <f t="shared" si="12"/>
        <v>42720</v>
      </c>
      <c r="F130" s="28">
        <f t="shared" si="11"/>
        <v>4.8888888888889026</v>
      </c>
      <c r="H130" s="28">
        <f t="shared" si="7"/>
        <v>5.1805555555555696</v>
      </c>
      <c r="I130">
        <f t="shared" si="8"/>
        <v>1</v>
      </c>
      <c r="J130">
        <f t="shared" si="9"/>
        <v>1</v>
      </c>
      <c r="K130" t="s">
        <v>1491</v>
      </c>
      <c r="R130" t="s">
        <v>37</v>
      </c>
      <c r="S130" t="s">
        <v>2476</v>
      </c>
      <c r="T130" t="s">
        <v>2477</v>
      </c>
      <c r="U130" t="s">
        <v>2478</v>
      </c>
      <c r="V130" t="s">
        <v>2479</v>
      </c>
      <c r="X130" t="s">
        <v>1895</v>
      </c>
      <c r="AF130" t="s">
        <v>2322</v>
      </c>
    </row>
    <row r="131" spans="1:32">
      <c r="A131" t="s">
        <v>1282</v>
      </c>
      <c r="B131" s="1" t="s">
        <v>37</v>
      </c>
      <c r="C131" t="s">
        <v>1693</v>
      </c>
      <c r="D131" s="1" t="str">
        <f t="shared" si="13"/>
        <v>middle-haul flights</v>
      </c>
      <c r="E131" s="2">
        <f t="shared" si="12"/>
        <v>42740</v>
      </c>
      <c r="F131" s="28">
        <f t="shared" si="11"/>
        <v>4.9270833333333472</v>
      </c>
      <c r="H131" s="28">
        <f t="shared" ref="H131:H194" si="14">IF(D131=CONCATENATE("short","-","haul"," ","flights"),F131+"03:00:00",(IF(D131=CONCATENATE("middle","-","haul"," ","flights"),F131+"07:00:00",F131+"12:00:00")))</f>
        <v>5.2187500000000142</v>
      </c>
      <c r="I131">
        <f t="shared" ref="I131:I194" si="15">IF(D131=CONCATENATE("short","-","haul"," ","flights"),0,(IF(D131=CONCATENATE("middle","-","haul"," ","flights"),1,2)))</f>
        <v>1</v>
      </c>
      <c r="J131">
        <f t="shared" ref="J131:J194" si="16">IF(D131=CONCATENATE("short","-","haul"," ","flights"),0,(IF(D131=CONCATENATE("middle","-","haul"," ","flights"),1,2)))</f>
        <v>1</v>
      </c>
      <c r="K131" t="s">
        <v>1492</v>
      </c>
      <c r="R131" t="s">
        <v>2480</v>
      </c>
      <c r="S131" t="s">
        <v>1958</v>
      </c>
      <c r="T131" t="s">
        <v>2481</v>
      </c>
      <c r="U131" t="s">
        <v>2482</v>
      </c>
      <c r="V131" t="s">
        <v>2483</v>
      </c>
      <c r="W131" t="s">
        <v>1908</v>
      </c>
      <c r="Y131" t="s">
        <v>1908</v>
      </c>
    </row>
    <row r="132" spans="1:32">
      <c r="A132" t="s">
        <v>1283</v>
      </c>
      <c r="B132" s="1" t="s">
        <v>37</v>
      </c>
      <c r="C132" t="s">
        <v>1886</v>
      </c>
      <c r="D132" s="1" t="str">
        <f t="shared" si="13"/>
        <v>middle-haul flights</v>
      </c>
      <c r="E132" s="2">
        <f t="shared" si="12"/>
        <v>42760</v>
      </c>
      <c r="F132" s="28">
        <f t="shared" ref="F132:F195" si="17">F131+"00:55:00"</f>
        <v>4.9652777777777919</v>
      </c>
      <c r="H132" s="28">
        <f t="shared" si="14"/>
        <v>5.2569444444444589</v>
      </c>
      <c r="I132">
        <f t="shared" si="15"/>
        <v>1</v>
      </c>
      <c r="J132">
        <f t="shared" si="16"/>
        <v>1</v>
      </c>
      <c r="K132" t="s">
        <v>1493</v>
      </c>
      <c r="R132" t="s">
        <v>2484</v>
      </c>
      <c r="S132" t="s">
        <v>1940</v>
      </c>
      <c r="T132" t="s">
        <v>2485</v>
      </c>
      <c r="U132" t="s">
        <v>2486</v>
      </c>
      <c r="V132" t="s">
        <v>2487</v>
      </c>
      <c r="W132" t="s">
        <v>1908</v>
      </c>
      <c r="Z132" t="s">
        <v>1895</v>
      </c>
    </row>
    <row r="133" spans="1:32">
      <c r="A133" t="s">
        <v>1284</v>
      </c>
      <c r="B133" s="1" t="s">
        <v>37</v>
      </c>
      <c r="C133" t="s">
        <v>1885</v>
      </c>
      <c r="D133" s="1" t="str">
        <f t="shared" si="13"/>
        <v>middle-haul flights</v>
      </c>
      <c r="E133" s="2">
        <f t="shared" si="12"/>
        <v>42780</v>
      </c>
      <c r="F133" s="28">
        <f t="shared" si="17"/>
        <v>5.0034722222222365</v>
      </c>
      <c r="H133" s="28">
        <f t="shared" si="14"/>
        <v>5.2951388888889035</v>
      </c>
      <c r="I133">
        <f t="shared" si="15"/>
        <v>1</v>
      </c>
      <c r="J133">
        <f t="shared" si="16"/>
        <v>1</v>
      </c>
      <c r="K133" t="s">
        <v>1494</v>
      </c>
      <c r="R133" t="s">
        <v>2488</v>
      </c>
      <c r="S133" t="s">
        <v>1914</v>
      </c>
      <c r="T133" t="s">
        <v>2489</v>
      </c>
      <c r="U133" t="s">
        <v>2490</v>
      </c>
      <c r="V133" t="s">
        <v>2491</v>
      </c>
      <c r="W133" t="s">
        <v>1908</v>
      </c>
      <c r="Y133" t="s">
        <v>1908</v>
      </c>
      <c r="Z133" t="s">
        <v>1908</v>
      </c>
      <c r="AE133" t="s">
        <v>1895</v>
      </c>
      <c r="AF133" t="s">
        <v>2492</v>
      </c>
    </row>
    <row r="134" spans="1:32">
      <c r="A134" t="s">
        <v>1285</v>
      </c>
      <c r="B134" s="1" t="s">
        <v>37</v>
      </c>
      <c r="C134" t="s">
        <v>1884</v>
      </c>
      <c r="D134" s="1" t="str">
        <f t="shared" si="13"/>
        <v>middle-haul flights</v>
      </c>
      <c r="E134" s="2">
        <f t="shared" si="12"/>
        <v>42800</v>
      </c>
      <c r="F134" s="28">
        <f t="shared" si="17"/>
        <v>5.0416666666666812</v>
      </c>
      <c r="H134" s="28">
        <f t="shared" si="14"/>
        <v>5.3333333333333481</v>
      </c>
      <c r="I134">
        <f t="shared" si="15"/>
        <v>1</v>
      </c>
      <c r="J134">
        <f t="shared" si="16"/>
        <v>1</v>
      </c>
      <c r="K134" t="s">
        <v>1495</v>
      </c>
      <c r="R134" t="s">
        <v>2493</v>
      </c>
      <c r="S134" t="s">
        <v>1898</v>
      </c>
      <c r="T134" t="s">
        <v>2494</v>
      </c>
      <c r="U134" t="s">
        <v>2495</v>
      </c>
      <c r="V134" t="s">
        <v>2496</v>
      </c>
      <c r="X134" t="s">
        <v>1908</v>
      </c>
      <c r="Z134" t="s">
        <v>1908</v>
      </c>
    </row>
    <row r="135" spans="1:32">
      <c r="A135" t="s">
        <v>1286</v>
      </c>
      <c r="B135" s="1" t="s">
        <v>37</v>
      </c>
      <c r="C135" t="s">
        <v>1712</v>
      </c>
      <c r="D135" s="1" t="str">
        <f t="shared" si="13"/>
        <v>middle-haul flights</v>
      </c>
      <c r="E135" s="2">
        <f t="shared" si="12"/>
        <v>42820</v>
      </c>
      <c r="F135" s="28">
        <f t="shared" si="17"/>
        <v>5.0798611111111258</v>
      </c>
      <c r="H135" s="28">
        <f t="shared" si="14"/>
        <v>5.3715277777777928</v>
      </c>
      <c r="I135">
        <f t="shared" si="15"/>
        <v>1</v>
      </c>
      <c r="J135">
        <f t="shared" si="16"/>
        <v>1</v>
      </c>
      <c r="K135" t="s">
        <v>1496</v>
      </c>
      <c r="R135" t="s">
        <v>2497</v>
      </c>
      <c r="S135" t="s">
        <v>2498</v>
      </c>
      <c r="T135" t="s">
        <v>2499</v>
      </c>
      <c r="U135" t="s">
        <v>2500</v>
      </c>
      <c r="V135" t="s">
        <v>2501</v>
      </c>
      <c r="W135" t="s">
        <v>1908</v>
      </c>
      <c r="Y135" t="s">
        <v>1908</v>
      </c>
    </row>
    <row r="136" spans="1:32">
      <c r="A136" t="s">
        <v>1287</v>
      </c>
      <c r="B136" s="1" t="s">
        <v>37</v>
      </c>
      <c r="C136" t="s">
        <v>1717</v>
      </c>
      <c r="D136" s="1" t="str">
        <f t="shared" si="13"/>
        <v>middle-haul flights</v>
      </c>
      <c r="E136" s="2">
        <f t="shared" si="12"/>
        <v>42840</v>
      </c>
      <c r="F136" s="28">
        <f t="shared" si="17"/>
        <v>5.1180555555555705</v>
      </c>
      <c r="H136" s="28">
        <f t="shared" si="14"/>
        <v>5.4097222222222374</v>
      </c>
      <c r="I136">
        <f t="shared" si="15"/>
        <v>1</v>
      </c>
      <c r="J136">
        <f t="shared" si="16"/>
        <v>1</v>
      </c>
      <c r="K136" t="s">
        <v>1497</v>
      </c>
      <c r="R136" t="s">
        <v>2502</v>
      </c>
      <c r="S136" t="s">
        <v>1958</v>
      </c>
      <c r="T136" t="s">
        <v>2503</v>
      </c>
      <c r="U136" t="s">
        <v>2504</v>
      </c>
      <c r="V136" t="s">
        <v>2505</v>
      </c>
      <c r="W136" t="s">
        <v>1908</v>
      </c>
      <c r="Y136" t="s">
        <v>1908</v>
      </c>
      <c r="Z136" t="s">
        <v>1895</v>
      </c>
    </row>
    <row r="137" spans="1:32">
      <c r="A137" t="s">
        <v>1288</v>
      </c>
      <c r="B137" s="1" t="s">
        <v>37</v>
      </c>
      <c r="C137" t="s">
        <v>1883</v>
      </c>
      <c r="D137" s="1" t="str">
        <f t="shared" si="13"/>
        <v>middle-haul flights</v>
      </c>
      <c r="E137" s="2">
        <f t="shared" si="12"/>
        <v>42860</v>
      </c>
      <c r="F137" s="28">
        <f t="shared" si="17"/>
        <v>5.1562500000000151</v>
      </c>
      <c r="H137" s="28">
        <f t="shared" si="14"/>
        <v>5.4479166666666821</v>
      </c>
      <c r="I137">
        <f t="shared" si="15"/>
        <v>1</v>
      </c>
      <c r="J137">
        <f t="shared" si="16"/>
        <v>1</v>
      </c>
      <c r="K137" t="s">
        <v>1498</v>
      </c>
      <c r="R137" t="s">
        <v>2506</v>
      </c>
      <c r="S137" t="s">
        <v>1958</v>
      </c>
      <c r="T137" t="s">
        <v>2507</v>
      </c>
      <c r="U137" t="s">
        <v>2508</v>
      </c>
      <c r="V137" t="s">
        <v>2509</v>
      </c>
      <c r="Y137" t="s">
        <v>1908</v>
      </c>
    </row>
    <row r="138" spans="1:32">
      <c r="A138" t="s">
        <v>1289</v>
      </c>
      <c r="B138" s="1" t="s">
        <v>37</v>
      </c>
      <c r="C138" t="s">
        <v>1727</v>
      </c>
      <c r="D138" s="1" t="str">
        <f t="shared" si="13"/>
        <v>middle-haul flights</v>
      </c>
      <c r="E138" s="2">
        <f t="shared" si="12"/>
        <v>42880</v>
      </c>
      <c r="F138" s="28">
        <f t="shared" si="17"/>
        <v>5.1944444444444597</v>
      </c>
      <c r="H138" s="28">
        <f t="shared" si="14"/>
        <v>5.4861111111111267</v>
      </c>
      <c r="I138">
        <f t="shared" si="15"/>
        <v>1</v>
      </c>
      <c r="J138">
        <f t="shared" si="16"/>
        <v>1</v>
      </c>
      <c r="K138" t="s">
        <v>1499</v>
      </c>
      <c r="R138" t="s">
        <v>2510</v>
      </c>
      <c r="S138" t="s">
        <v>2005</v>
      </c>
      <c r="T138" t="s">
        <v>2511</v>
      </c>
      <c r="U138" t="s">
        <v>2512</v>
      </c>
      <c r="V138" t="s">
        <v>2513</v>
      </c>
      <c r="W138" t="s">
        <v>1908</v>
      </c>
      <c r="AF138" t="s">
        <v>2514</v>
      </c>
    </row>
    <row r="139" spans="1:32">
      <c r="A139" t="s">
        <v>1290</v>
      </c>
      <c r="B139" s="1" t="s">
        <v>37</v>
      </c>
      <c r="C139" t="s">
        <v>1732</v>
      </c>
      <c r="D139" s="1" t="str">
        <f t="shared" si="13"/>
        <v>middle-haul flights</v>
      </c>
      <c r="E139" s="2">
        <f t="shared" si="12"/>
        <v>42900</v>
      </c>
      <c r="F139" s="28">
        <f t="shared" si="17"/>
        <v>5.2326388888889044</v>
      </c>
      <c r="H139" s="28">
        <f t="shared" si="14"/>
        <v>5.5243055555555713</v>
      </c>
      <c r="I139">
        <f t="shared" si="15"/>
        <v>1</v>
      </c>
      <c r="J139">
        <f t="shared" si="16"/>
        <v>1</v>
      </c>
      <c r="K139" t="s">
        <v>1500</v>
      </c>
      <c r="R139" t="s">
        <v>2515</v>
      </c>
      <c r="S139" t="s">
        <v>1940</v>
      </c>
      <c r="T139" t="s">
        <v>2516</v>
      </c>
      <c r="U139" t="s">
        <v>2517</v>
      </c>
      <c r="V139" t="s">
        <v>2518</v>
      </c>
      <c r="W139" t="s">
        <v>1908</v>
      </c>
      <c r="Z139" t="s">
        <v>1908</v>
      </c>
    </row>
    <row r="140" spans="1:32">
      <c r="A140" t="s">
        <v>1291</v>
      </c>
      <c r="B140" s="1" t="s">
        <v>37</v>
      </c>
      <c r="C140" t="s">
        <v>1737</v>
      </c>
      <c r="D140" s="1" t="str">
        <f t="shared" si="13"/>
        <v>middle-haul flights</v>
      </c>
      <c r="E140" s="2">
        <f t="shared" si="12"/>
        <v>42920</v>
      </c>
      <c r="F140" s="28">
        <f t="shared" si="17"/>
        <v>5.270833333333349</v>
      </c>
      <c r="H140" s="28">
        <f t="shared" si="14"/>
        <v>5.562500000000016</v>
      </c>
      <c r="I140">
        <f t="shared" si="15"/>
        <v>1</v>
      </c>
      <c r="J140">
        <f t="shared" si="16"/>
        <v>1</v>
      </c>
      <c r="K140" t="s">
        <v>1501</v>
      </c>
      <c r="R140" t="s">
        <v>2519</v>
      </c>
      <c r="S140" t="s">
        <v>1930</v>
      </c>
      <c r="T140" t="s">
        <v>2520</v>
      </c>
      <c r="U140" t="s">
        <v>2521</v>
      </c>
      <c r="V140" t="s">
        <v>2522</v>
      </c>
      <c r="AA140" t="s">
        <v>1908</v>
      </c>
    </row>
    <row r="141" spans="1:32">
      <c r="A141" t="s">
        <v>1292</v>
      </c>
      <c r="B141" s="1" t="s">
        <v>37</v>
      </c>
      <c r="C141" t="s">
        <v>1742</v>
      </c>
      <c r="D141" s="1" t="str">
        <f t="shared" si="13"/>
        <v>middle-haul flights</v>
      </c>
      <c r="E141" s="2">
        <f t="shared" si="12"/>
        <v>42940</v>
      </c>
      <c r="F141" s="28">
        <f t="shared" si="17"/>
        <v>5.3090277777777937</v>
      </c>
      <c r="H141" s="28">
        <f t="shared" si="14"/>
        <v>5.6006944444444606</v>
      </c>
      <c r="I141">
        <f t="shared" si="15"/>
        <v>1</v>
      </c>
      <c r="J141">
        <f t="shared" si="16"/>
        <v>1</v>
      </c>
      <c r="K141" t="s">
        <v>1502</v>
      </c>
      <c r="R141" t="s">
        <v>2523</v>
      </c>
      <c r="S141" t="s">
        <v>1904</v>
      </c>
      <c r="T141" t="s">
        <v>2524</v>
      </c>
      <c r="U141" t="s">
        <v>2525</v>
      </c>
      <c r="V141" t="s">
        <v>2526</v>
      </c>
      <c r="AD141" t="s">
        <v>1908</v>
      </c>
      <c r="AF141" t="s">
        <v>2527</v>
      </c>
    </row>
    <row r="142" spans="1:32">
      <c r="A142" t="s">
        <v>1293</v>
      </c>
      <c r="B142" s="1" t="s">
        <v>37</v>
      </c>
      <c r="C142" t="s">
        <v>1746</v>
      </c>
      <c r="D142" s="1" t="str">
        <f t="shared" si="13"/>
        <v>middle-haul flights</v>
      </c>
      <c r="E142" s="2">
        <f t="shared" si="12"/>
        <v>42960</v>
      </c>
      <c r="F142" s="28">
        <f t="shared" si="17"/>
        <v>5.3472222222222383</v>
      </c>
      <c r="H142" s="28">
        <f t="shared" si="14"/>
        <v>5.6388888888889053</v>
      </c>
      <c r="I142">
        <f t="shared" si="15"/>
        <v>1</v>
      </c>
      <c r="J142">
        <f t="shared" si="16"/>
        <v>1</v>
      </c>
      <c r="K142" t="s">
        <v>1503</v>
      </c>
      <c r="R142" t="s">
        <v>2528</v>
      </c>
      <c r="S142" t="s">
        <v>1969</v>
      </c>
      <c r="T142" t="s">
        <v>2529</v>
      </c>
      <c r="U142" t="s">
        <v>2530</v>
      </c>
      <c r="V142" t="s">
        <v>2531</v>
      </c>
      <c r="W142" t="s">
        <v>1908</v>
      </c>
    </row>
    <row r="143" spans="1:32">
      <c r="A143" t="s">
        <v>1294</v>
      </c>
      <c r="B143" s="1" t="s">
        <v>37</v>
      </c>
      <c r="C143" t="s">
        <v>1751</v>
      </c>
      <c r="D143" s="1" t="str">
        <f t="shared" si="13"/>
        <v>middle-haul flights</v>
      </c>
      <c r="E143" s="2">
        <f t="shared" si="12"/>
        <v>42980</v>
      </c>
      <c r="F143" s="28">
        <f t="shared" si="17"/>
        <v>5.3854166666666829</v>
      </c>
      <c r="H143" s="28">
        <f t="shared" si="14"/>
        <v>5.6770833333333499</v>
      </c>
      <c r="I143">
        <f t="shared" si="15"/>
        <v>1</v>
      </c>
      <c r="J143">
        <f t="shared" si="16"/>
        <v>1</v>
      </c>
      <c r="K143" t="s">
        <v>1504</v>
      </c>
      <c r="R143" t="s">
        <v>2532</v>
      </c>
      <c r="S143" t="s">
        <v>1904</v>
      </c>
      <c r="T143" t="s">
        <v>2533</v>
      </c>
      <c r="U143" t="s">
        <v>2534</v>
      </c>
      <c r="V143" t="s">
        <v>2535</v>
      </c>
      <c r="AD143" t="s">
        <v>1908</v>
      </c>
      <c r="AF143" t="s">
        <v>2536</v>
      </c>
    </row>
    <row r="144" spans="1:32">
      <c r="A144" t="s">
        <v>1295</v>
      </c>
      <c r="B144" s="1" t="s">
        <v>37</v>
      </c>
      <c r="C144" t="s">
        <v>1882</v>
      </c>
      <c r="D144" s="1" t="str">
        <f t="shared" si="13"/>
        <v>middle-haul flights</v>
      </c>
      <c r="E144" s="2">
        <f t="shared" si="12"/>
        <v>43000</v>
      </c>
      <c r="F144" s="28">
        <f t="shared" si="17"/>
        <v>5.4236111111111276</v>
      </c>
      <c r="H144" s="28">
        <f t="shared" si="14"/>
        <v>5.7152777777777946</v>
      </c>
      <c r="I144">
        <f t="shared" si="15"/>
        <v>1</v>
      </c>
      <c r="J144">
        <f t="shared" si="16"/>
        <v>1</v>
      </c>
      <c r="K144" t="s">
        <v>1505</v>
      </c>
      <c r="R144" t="s">
        <v>2537</v>
      </c>
      <c r="S144" t="s">
        <v>1958</v>
      </c>
      <c r="T144" t="s">
        <v>2538</v>
      </c>
      <c r="U144" t="s">
        <v>2539</v>
      </c>
      <c r="V144" t="s">
        <v>2540</v>
      </c>
      <c r="Y144" t="s">
        <v>1908</v>
      </c>
      <c r="AF144" t="s">
        <v>2541</v>
      </c>
    </row>
    <row r="145" spans="1:32">
      <c r="A145" t="s">
        <v>1296</v>
      </c>
      <c r="B145" s="1" t="s">
        <v>37</v>
      </c>
      <c r="C145" t="s">
        <v>1761</v>
      </c>
      <c r="D145" s="1" t="str">
        <f t="shared" si="13"/>
        <v>middle-haul flights</v>
      </c>
      <c r="E145" s="2">
        <f t="shared" si="12"/>
        <v>43020</v>
      </c>
      <c r="F145" s="28">
        <f t="shared" si="17"/>
        <v>5.4618055555555722</v>
      </c>
      <c r="H145" s="28">
        <f t="shared" si="14"/>
        <v>5.7534722222222392</v>
      </c>
      <c r="I145">
        <f t="shared" si="15"/>
        <v>1</v>
      </c>
      <c r="J145">
        <f t="shared" si="16"/>
        <v>1</v>
      </c>
      <c r="K145" t="s">
        <v>1506</v>
      </c>
      <c r="R145" t="s">
        <v>2542</v>
      </c>
      <c r="S145" t="s">
        <v>1958</v>
      </c>
      <c r="T145" t="s">
        <v>2543</v>
      </c>
      <c r="U145" t="s">
        <v>2544</v>
      </c>
      <c r="V145" t="s">
        <v>2545</v>
      </c>
      <c r="Y145" t="s">
        <v>1908</v>
      </c>
      <c r="AF145" t="s">
        <v>2426</v>
      </c>
    </row>
    <row r="146" spans="1:32">
      <c r="A146" t="s">
        <v>1297</v>
      </c>
      <c r="B146" s="1" t="s">
        <v>37</v>
      </c>
      <c r="C146" t="s">
        <v>1881</v>
      </c>
      <c r="D146" s="1" t="str">
        <f t="shared" si="13"/>
        <v>middle-haul flights</v>
      </c>
      <c r="E146" s="2">
        <f t="shared" si="12"/>
        <v>43040</v>
      </c>
      <c r="F146" s="28">
        <f t="shared" si="17"/>
        <v>5.5000000000000169</v>
      </c>
      <c r="H146" s="28">
        <f t="shared" si="14"/>
        <v>5.7916666666666838</v>
      </c>
      <c r="I146">
        <f t="shared" si="15"/>
        <v>1</v>
      </c>
      <c r="J146">
        <f t="shared" si="16"/>
        <v>1</v>
      </c>
      <c r="K146" t="s">
        <v>1507</v>
      </c>
      <c r="R146" t="s">
        <v>2546</v>
      </c>
      <c r="S146" t="s">
        <v>1958</v>
      </c>
      <c r="T146" t="s">
        <v>2547</v>
      </c>
      <c r="U146" t="s">
        <v>2548</v>
      </c>
      <c r="V146" t="s">
        <v>2549</v>
      </c>
      <c r="Y146" t="s">
        <v>1908</v>
      </c>
    </row>
    <row r="147" spans="1:32">
      <c r="A147" t="s">
        <v>1298</v>
      </c>
      <c r="B147" s="1" t="s">
        <v>37</v>
      </c>
      <c r="C147" t="s">
        <v>1770</v>
      </c>
      <c r="D147" s="1" t="str">
        <f t="shared" si="13"/>
        <v>middle-haul flights</v>
      </c>
      <c r="E147" s="2">
        <f t="shared" si="12"/>
        <v>43060</v>
      </c>
      <c r="F147" s="28">
        <f t="shared" si="17"/>
        <v>5.5381944444444615</v>
      </c>
      <c r="H147" s="28">
        <f t="shared" si="14"/>
        <v>5.8298611111111285</v>
      </c>
      <c r="I147">
        <f t="shared" si="15"/>
        <v>1</v>
      </c>
      <c r="J147">
        <f t="shared" si="16"/>
        <v>1</v>
      </c>
      <c r="K147" t="s">
        <v>1508</v>
      </c>
      <c r="R147" t="s">
        <v>2550</v>
      </c>
      <c r="S147" t="s">
        <v>1914</v>
      </c>
      <c r="T147" t="s">
        <v>2551</v>
      </c>
      <c r="U147" t="s">
        <v>2552</v>
      </c>
      <c r="V147" t="s">
        <v>2553</v>
      </c>
      <c r="W147" t="s">
        <v>1908</v>
      </c>
    </row>
    <row r="148" spans="1:32">
      <c r="A148" t="s">
        <v>1299</v>
      </c>
      <c r="B148" s="1" t="s">
        <v>37</v>
      </c>
      <c r="C148" t="s">
        <v>1774</v>
      </c>
      <c r="D148" s="1" t="str">
        <f t="shared" si="13"/>
        <v>middle-haul flights</v>
      </c>
      <c r="E148" s="2">
        <f t="shared" si="12"/>
        <v>43080</v>
      </c>
      <c r="F148" s="28">
        <f t="shared" si="17"/>
        <v>5.5763888888889062</v>
      </c>
      <c r="H148" s="28">
        <f t="shared" si="14"/>
        <v>5.8680555555555731</v>
      </c>
      <c r="I148">
        <f t="shared" si="15"/>
        <v>1</v>
      </c>
      <c r="J148">
        <f t="shared" si="16"/>
        <v>1</v>
      </c>
      <c r="K148" t="s">
        <v>1509</v>
      </c>
      <c r="R148" t="s">
        <v>2554</v>
      </c>
      <c r="S148" t="s">
        <v>2104</v>
      </c>
      <c r="T148" t="s">
        <v>2555</v>
      </c>
      <c r="U148" t="s">
        <v>2556</v>
      </c>
      <c r="V148" t="s">
        <v>2557</v>
      </c>
      <c r="X148" t="s">
        <v>1908</v>
      </c>
      <c r="AB148" t="s">
        <v>1908</v>
      </c>
      <c r="AC148" t="s">
        <v>1908</v>
      </c>
      <c r="AF148" t="s">
        <v>2558</v>
      </c>
    </row>
    <row r="149" spans="1:32">
      <c r="A149" t="s">
        <v>1300</v>
      </c>
      <c r="B149" s="1" t="s">
        <v>37</v>
      </c>
      <c r="C149" t="s">
        <v>1778</v>
      </c>
      <c r="D149" s="1" t="str">
        <f t="shared" si="13"/>
        <v>middle-haul flights</v>
      </c>
      <c r="E149" s="2">
        <f t="shared" si="12"/>
        <v>43100</v>
      </c>
      <c r="F149" s="28">
        <f t="shared" si="17"/>
        <v>5.6145833333333508</v>
      </c>
      <c r="H149" s="28">
        <f t="shared" si="14"/>
        <v>5.9062500000000178</v>
      </c>
      <c r="I149">
        <f t="shared" si="15"/>
        <v>1</v>
      </c>
      <c r="J149">
        <f t="shared" si="16"/>
        <v>1</v>
      </c>
      <c r="K149" t="s">
        <v>1510</v>
      </c>
      <c r="R149" t="s">
        <v>2559</v>
      </c>
      <c r="S149" t="s">
        <v>1969</v>
      </c>
      <c r="T149" t="s">
        <v>2560</v>
      </c>
      <c r="U149" t="s">
        <v>2561</v>
      </c>
      <c r="V149" t="s">
        <v>2562</v>
      </c>
      <c r="Y149" t="s">
        <v>1908</v>
      </c>
    </row>
    <row r="150" spans="1:32">
      <c r="A150" t="s">
        <v>1301</v>
      </c>
      <c r="B150" s="1" t="s">
        <v>37</v>
      </c>
      <c r="C150" t="s">
        <v>1783</v>
      </c>
      <c r="D150" s="1" t="str">
        <f t="shared" si="13"/>
        <v>middle-haul flights</v>
      </c>
      <c r="E150" s="2">
        <f t="shared" si="12"/>
        <v>43120</v>
      </c>
      <c r="F150" s="28">
        <f t="shared" si="17"/>
        <v>5.6527777777777954</v>
      </c>
      <c r="H150" s="28">
        <f t="shared" si="14"/>
        <v>5.9444444444444624</v>
      </c>
      <c r="I150">
        <f t="shared" si="15"/>
        <v>1</v>
      </c>
      <c r="J150">
        <f t="shared" si="16"/>
        <v>1</v>
      </c>
      <c r="K150" t="s">
        <v>1511</v>
      </c>
      <c r="R150" t="s">
        <v>2563</v>
      </c>
      <c r="S150" t="s">
        <v>1940</v>
      </c>
      <c r="T150" t="s">
        <v>2564</v>
      </c>
      <c r="U150" t="s">
        <v>2565</v>
      </c>
      <c r="V150" t="s">
        <v>2566</v>
      </c>
      <c r="W150" t="s">
        <v>1908</v>
      </c>
      <c r="Z150" t="s">
        <v>1908</v>
      </c>
    </row>
    <row r="151" spans="1:32">
      <c r="A151" t="s">
        <v>1302</v>
      </c>
      <c r="B151" s="1" t="s">
        <v>37</v>
      </c>
      <c r="C151" t="s">
        <v>1787</v>
      </c>
      <c r="D151" s="1" t="str">
        <f t="shared" si="13"/>
        <v>middle-haul flights</v>
      </c>
      <c r="E151" s="2">
        <f t="shared" si="12"/>
        <v>43140</v>
      </c>
      <c r="F151" s="28">
        <f t="shared" si="17"/>
        <v>5.6909722222222401</v>
      </c>
      <c r="H151" s="28">
        <f t="shared" si="14"/>
        <v>5.982638888888907</v>
      </c>
      <c r="I151">
        <f t="shared" si="15"/>
        <v>1</v>
      </c>
      <c r="J151">
        <f t="shared" si="16"/>
        <v>1</v>
      </c>
      <c r="K151" t="s">
        <v>1512</v>
      </c>
      <c r="R151" t="s">
        <v>2567</v>
      </c>
      <c r="S151" t="s">
        <v>2104</v>
      </c>
      <c r="T151" t="s">
        <v>2568</v>
      </c>
      <c r="U151" t="s">
        <v>2569</v>
      </c>
      <c r="V151" t="s">
        <v>2570</v>
      </c>
      <c r="AB151" t="s">
        <v>1908</v>
      </c>
    </row>
    <row r="152" spans="1:32">
      <c r="A152" t="s">
        <v>1303</v>
      </c>
      <c r="B152" s="1" t="s">
        <v>37</v>
      </c>
      <c r="C152" t="s">
        <v>1880</v>
      </c>
      <c r="D152" s="1" t="str">
        <f t="shared" si="13"/>
        <v>middle-haul flights</v>
      </c>
      <c r="E152" s="2">
        <f t="shared" si="12"/>
        <v>43160</v>
      </c>
      <c r="F152" s="28">
        <f t="shared" si="17"/>
        <v>5.7291666666666847</v>
      </c>
      <c r="H152" s="28">
        <f t="shared" si="14"/>
        <v>6.0208333333333517</v>
      </c>
      <c r="I152">
        <f t="shared" si="15"/>
        <v>1</v>
      </c>
      <c r="J152">
        <f t="shared" si="16"/>
        <v>1</v>
      </c>
      <c r="K152" t="s">
        <v>1513</v>
      </c>
      <c r="R152" t="s">
        <v>2571</v>
      </c>
      <c r="S152" t="s">
        <v>1996</v>
      </c>
      <c r="T152" t="s">
        <v>2572</v>
      </c>
      <c r="U152" t="s">
        <v>2573</v>
      </c>
      <c r="V152" t="s">
        <v>2574</v>
      </c>
      <c r="X152" t="s">
        <v>1908</v>
      </c>
      <c r="AA152" t="s">
        <v>1908</v>
      </c>
      <c r="AB152" t="s">
        <v>1895</v>
      </c>
      <c r="AC152" t="s">
        <v>1908</v>
      </c>
    </row>
    <row r="153" spans="1:32">
      <c r="A153" t="s">
        <v>1304</v>
      </c>
      <c r="B153" s="1" t="s">
        <v>37</v>
      </c>
      <c r="C153" t="s">
        <v>1795</v>
      </c>
      <c r="D153" s="1" t="str">
        <f t="shared" si="13"/>
        <v>middle-haul flights</v>
      </c>
      <c r="E153" s="2">
        <f t="shared" si="12"/>
        <v>43180</v>
      </c>
      <c r="F153" s="28">
        <f t="shared" si="17"/>
        <v>5.7673611111111294</v>
      </c>
      <c r="H153" s="28">
        <f t="shared" si="14"/>
        <v>6.0590277777777963</v>
      </c>
      <c r="I153">
        <f t="shared" si="15"/>
        <v>1</v>
      </c>
      <c r="J153">
        <f t="shared" si="16"/>
        <v>1</v>
      </c>
      <c r="K153" t="s">
        <v>1514</v>
      </c>
      <c r="R153" t="s">
        <v>2575</v>
      </c>
      <c r="S153" t="s">
        <v>1969</v>
      </c>
      <c r="T153" t="s">
        <v>2576</v>
      </c>
      <c r="U153" t="s">
        <v>2577</v>
      </c>
      <c r="V153" t="s">
        <v>2578</v>
      </c>
      <c r="X153" t="s">
        <v>1908</v>
      </c>
      <c r="AA153" t="s">
        <v>1908</v>
      </c>
      <c r="AC153" t="s">
        <v>1908</v>
      </c>
      <c r="AF153" t="s">
        <v>2579</v>
      </c>
    </row>
    <row r="154" spans="1:32">
      <c r="A154" t="s">
        <v>1305</v>
      </c>
      <c r="B154" s="1" t="s">
        <v>37</v>
      </c>
      <c r="C154" t="s">
        <v>1879</v>
      </c>
      <c r="D154" s="1" t="str">
        <f t="shared" si="13"/>
        <v>middle-haul flights</v>
      </c>
      <c r="E154" s="2">
        <f t="shared" si="12"/>
        <v>43200</v>
      </c>
      <c r="F154" s="28">
        <f t="shared" si="17"/>
        <v>5.805555555555574</v>
      </c>
      <c r="H154" s="28">
        <f t="shared" si="14"/>
        <v>6.097222222222241</v>
      </c>
      <c r="I154">
        <f t="shared" si="15"/>
        <v>1</v>
      </c>
      <c r="J154">
        <f t="shared" si="16"/>
        <v>1</v>
      </c>
      <c r="K154" t="s">
        <v>1515</v>
      </c>
      <c r="R154" t="s">
        <v>2580</v>
      </c>
      <c r="S154" t="s">
        <v>1969</v>
      </c>
      <c r="T154" t="s">
        <v>2581</v>
      </c>
      <c r="U154" t="s">
        <v>2582</v>
      </c>
      <c r="V154" t="s">
        <v>2583</v>
      </c>
      <c r="W154" t="s">
        <v>1908</v>
      </c>
      <c r="Y154" t="s">
        <v>1908</v>
      </c>
      <c r="AF154" t="s">
        <v>2584</v>
      </c>
    </row>
    <row r="155" spans="1:32">
      <c r="A155" t="s">
        <v>1306</v>
      </c>
      <c r="B155" s="1" t="s">
        <v>37</v>
      </c>
      <c r="C155" t="s">
        <v>1805</v>
      </c>
      <c r="D155" s="1" t="str">
        <f t="shared" si="13"/>
        <v>middle-haul flights</v>
      </c>
      <c r="E155" s="2">
        <f t="shared" si="12"/>
        <v>43220</v>
      </c>
      <c r="F155" s="28">
        <f t="shared" si="17"/>
        <v>5.8437500000000187</v>
      </c>
      <c r="H155" s="28">
        <f t="shared" si="14"/>
        <v>6.1354166666666856</v>
      </c>
      <c r="I155">
        <f t="shared" si="15"/>
        <v>1</v>
      </c>
      <c r="J155">
        <f t="shared" si="16"/>
        <v>1</v>
      </c>
      <c r="K155" t="s">
        <v>1516</v>
      </c>
      <c r="R155" t="s">
        <v>2585</v>
      </c>
      <c r="S155" t="s">
        <v>1969</v>
      </c>
      <c r="T155" t="s">
        <v>2586</v>
      </c>
      <c r="U155" t="s">
        <v>2587</v>
      </c>
      <c r="V155" t="s">
        <v>2588</v>
      </c>
      <c r="W155" t="s">
        <v>1908</v>
      </c>
      <c r="Y155" t="s">
        <v>1908</v>
      </c>
      <c r="AA155" t="s">
        <v>1908</v>
      </c>
      <c r="AF155" t="s">
        <v>2589</v>
      </c>
    </row>
    <row r="156" spans="1:32">
      <c r="A156" t="s">
        <v>1307</v>
      </c>
      <c r="B156" s="1" t="s">
        <v>37</v>
      </c>
      <c r="C156" t="s">
        <v>1878</v>
      </c>
      <c r="D156" s="1" t="str">
        <f t="shared" si="13"/>
        <v>middle-haul flights</v>
      </c>
      <c r="E156" s="2">
        <f t="shared" si="12"/>
        <v>43240</v>
      </c>
      <c r="F156" s="28">
        <f t="shared" si="17"/>
        <v>5.8819444444444633</v>
      </c>
      <c r="H156" s="28">
        <f t="shared" si="14"/>
        <v>6.1736111111111303</v>
      </c>
      <c r="I156">
        <f t="shared" si="15"/>
        <v>1</v>
      </c>
      <c r="J156">
        <f t="shared" si="16"/>
        <v>1</v>
      </c>
      <c r="K156" t="s">
        <v>1517</v>
      </c>
      <c r="R156" t="s">
        <v>2590</v>
      </c>
      <c r="S156" t="s">
        <v>1969</v>
      </c>
      <c r="T156" t="s">
        <v>2591</v>
      </c>
      <c r="U156" t="s">
        <v>2592</v>
      </c>
      <c r="V156" t="s">
        <v>2593</v>
      </c>
      <c r="AC156" t="s">
        <v>1908</v>
      </c>
    </row>
    <row r="157" spans="1:32">
      <c r="A157" t="s">
        <v>1308</v>
      </c>
      <c r="B157" s="1" t="s">
        <v>37</v>
      </c>
      <c r="C157" t="s">
        <v>1814</v>
      </c>
      <c r="D157" s="1" t="str">
        <f t="shared" si="13"/>
        <v>middle-haul flights</v>
      </c>
      <c r="E157" s="2">
        <f t="shared" si="12"/>
        <v>43260</v>
      </c>
      <c r="F157" s="28">
        <f t="shared" si="17"/>
        <v>5.9201388888889079</v>
      </c>
      <c r="H157" s="28">
        <f t="shared" si="14"/>
        <v>6.2118055555555749</v>
      </c>
      <c r="I157">
        <f t="shared" si="15"/>
        <v>1</v>
      </c>
      <c r="J157">
        <f t="shared" si="16"/>
        <v>1</v>
      </c>
      <c r="K157" t="s">
        <v>1518</v>
      </c>
      <c r="R157" t="s">
        <v>2594</v>
      </c>
      <c r="S157" t="s">
        <v>1940</v>
      </c>
      <c r="T157" t="s">
        <v>2595</v>
      </c>
      <c r="U157" t="s">
        <v>2596</v>
      </c>
      <c r="V157" t="s">
        <v>2597</v>
      </c>
      <c r="W157" t="s">
        <v>1908</v>
      </c>
      <c r="AF157" t="s">
        <v>2598</v>
      </c>
    </row>
    <row r="158" spans="1:32">
      <c r="A158" t="s">
        <v>1309</v>
      </c>
      <c r="B158" s="1" t="s">
        <v>37</v>
      </c>
      <c r="C158" t="s">
        <v>1877</v>
      </c>
      <c r="D158" s="1" t="str">
        <f t="shared" si="13"/>
        <v>middle-haul flights</v>
      </c>
      <c r="E158" s="2">
        <f t="shared" si="12"/>
        <v>43280</v>
      </c>
      <c r="F158" s="28">
        <f t="shared" si="17"/>
        <v>5.9583333333333526</v>
      </c>
      <c r="H158" s="28">
        <f t="shared" si="14"/>
        <v>6.2500000000000195</v>
      </c>
      <c r="I158">
        <f t="shared" si="15"/>
        <v>1</v>
      </c>
      <c r="J158">
        <f t="shared" si="16"/>
        <v>1</v>
      </c>
      <c r="K158" t="s">
        <v>1519</v>
      </c>
      <c r="R158" t="s">
        <v>2599</v>
      </c>
      <c r="S158" t="s">
        <v>1914</v>
      </c>
      <c r="T158" t="s">
        <v>2600</v>
      </c>
      <c r="U158" t="s">
        <v>2601</v>
      </c>
      <c r="V158" t="s">
        <v>2602</v>
      </c>
      <c r="W158" t="s">
        <v>1908</v>
      </c>
    </row>
    <row r="159" spans="1:32">
      <c r="A159" t="s">
        <v>1310</v>
      </c>
      <c r="B159" s="1" t="s">
        <v>37</v>
      </c>
      <c r="C159" t="s">
        <v>1823</v>
      </c>
      <c r="D159" s="1" t="str">
        <f t="shared" si="13"/>
        <v>middle-haul flights</v>
      </c>
      <c r="E159" s="2">
        <f t="shared" si="12"/>
        <v>43300</v>
      </c>
      <c r="F159" s="28">
        <f t="shared" si="17"/>
        <v>5.9965277777777972</v>
      </c>
      <c r="H159" s="28">
        <f t="shared" si="14"/>
        <v>6.2881944444444642</v>
      </c>
      <c r="I159">
        <f t="shared" si="15"/>
        <v>1</v>
      </c>
      <c r="J159">
        <f t="shared" si="16"/>
        <v>1</v>
      </c>
      <c r="K159" t="s">
        <v>1520</v>
      </c>
      <c r="R159" t="s">
        <v>2603</v>
      </c>
      <c r="S159" t="s">
        <v>2498</v>
      </c>
      <c r="T159" t="s">
        <v>2604</v>
      </c>
      <c r="U159" t="s">
        <v>2605</v>
      </c>
      <c r="V159" t="s">
        <v>2606</v>
      </c>
      <c r="W159" t="s">
        <v>1908</v>
      </c>
      <c r="Y159" t="s">
        <v>1908</v>
      </c>
    </row>
    <row r="160" spans="1:32">
      <c r="A160" t="s">
        <v>1311</v>
      </c>
      <c r="B160" s="1" t="s">
        <v>37</v>
      </c>
      <c r="C160" t="s">
        <v>1828</v>
      </c>
      <c r="D160" s="1" t="str">
        <f t="shared" si="13"/>
        <v>middle-haul flights</v>
      </c>
      <c r="E160" s="2">
        <f t="shared" ref="E160:E201" si="18">E67+15</f>
        <v>43320</v>
      </c>
      <c r="F160" s="28">
        <f t="shared" si="17"/>
        <v>6.0347222222222419</v>
      </c>
      <c r="H160" s="28">
        <f t="shared" si="14"/>
        <v>6.3263888888889088</v>
      </c>
      <c r="I160">
        <f t="shared" si="15"/>
        <v>1</v>
      </c>
      <c r="J160">
        <f t="shared" si="16"/>
        <v>1</v>
      </c>
      <c r="K160" t="s">
        <v>1521</v>
      </c>
      <c r="R160" t="s">
        <v>2607</v>
      </c>
      <c r="S160" t="s">
        <v>2498</v>
      </c>
      <c r="T160" t="s">
        <v>2608</v>
      </c>
      <c r="U160" t="s">
        <v>2609</v>
      </c>
      <c r="V160" t="s">
        <v>2610</v>
      </c>
      <c r="W160" t="s">
        <v>1908</v>
      </c>
      <c r="Y160" t="s">
        <v>1908</v>
      </c>
      <c r="AF160" t="s">
        <v>2611</v>
      </c>
    </row>
    <row r="161" spans="1:32">
      <c r="A161" t="s">
        <v>1312</v>
      </c>
      <c r="B161" s="1" t="s">
        <v>37</v>
      </c>
      <c r="C161" t="s">
        <v>1876</v>
      </c>
      <c r="D161" s="1" t="str">
        <f t="shared" si="13"/>
        <v>middle-haul flights</v>
      </c>
      <c r="E161" s="2">
        <f t="shared" si="18"/>
        <v>43340</v>
      </c>
      <c r="F161" s="28">
        <f t="shared" si="17"/>
        <v>6.0729166666666865</v>
      </c>
      <c r="H161" s="28">
        <f t="shared" si="14"/>
        <v>6.3645833333333535</v>
      </c>
      <c r="I161">
        <f t="shared" si="15"/>
        <v>1</v>
      </c>
      <c r="J161">
        <f t="shared" si="16"/>
        <v>1</v>
      </c>
      <c r="K161" t="s">
        <v>1522</v>
      </c>
      <c r="R161" t="s">
        <v>2612</v>
      </c>
      <c r="S161" t="s">
        <v>2612</v>
      </c>
      <c r="T161" t="s">
        <v>2613</v>
      </c>
      <c r="U161" t="s">
        <v>2614</v>
      </c>
      <c r="V161" t="s">
        <v>2615</v>
      </c>
      <c r="W161" t="s">
        <v>1908</v>
      </c>
      <c r="X161" t="s">
        <v>1908</v>
      </c>
      <c r="Y161" t="s">
        <v>1908</v>
      </c>
      <c r="Z161" t="s">
        <v>1908</v>
      </c>
      <c r="AA161" t="s">
        <v>1908</v>
      </c>
    </row>
    <row r="162" spans="1:32">
      <c r="A162" t="s">
        <v>1313</v>
      </c>
      <c r="B162" s="1" t="s">
        <v>37</v>
      </c>
      <c r="C162" t="s">
        <v>1875</v>
      </c>
      <c r="D162" s="1" t="str">
        <f t="shared" si="13"/>
        <v>middle-haul flights</v>
      </c>
      <c r="E162" s="2">
        <f t="shared" si="18"/>
        <v>43360</v>
      </c>
      <c r="F162" s="28">
        <f t="shared" si="17"/>
        <v>6.1111111111111311</v>
      </c>
      <c r="H162" s="28">
        <f t="shared" si="14"/>
        <v>6.4027777777777981</v>
      </c>
      <c r="I162">
        <f t="shared" si="15"/>
        <v>1</v>
      </c>
      <c r="J162">
        <f t="shared" si="16"/>
        <v>1</v>
      </c>
      <c r="K162" t="s">
        <v>1523</v>
      </c>
      <c r="R162" t="s">
        <v>2616</v>
      </c>
      <c r="S162" t="s">
        <v>1940</v>
      </c>
      <c r="T162" t="s">
        <v>2617</v>
      </c>
      <c r="U162" t="s">
        <v>2618</v>
      </c>
      <c r="V162" t="s">
        <v>2619</v>
      </c>
      <c r="W162" t="s">
        <v>1895</v>
      </c>
      <c r="Z162" t="s">
        <v>1908</v>
      </c>
      <c r="AE162" t="s">
        <v>1895</v>
      </c>
      <c r="AF162" t="s">
        <v>2620</v>
      </c>
    </row>
    <row r="163" spans="1:32">
      <c r="A163" t="s">
        <v>1314</v>
      </c>
      <c r="B163" s="1" t="s">
        <v>37</v>
      </c>
      <c r="C163" t="s">
        <v>1874</v>
      </c>
      <c r="D163" s="1" t="str">
        <f t="shared" si="13"/>
        <v>middle-haul flights</v>
      </c>
      <c r="E163" s="2">
        <f t="shared" si="18"/>
        <v>43380</v>
      </c>
      <c r="F163" s="28">
        <f t="shared" si="17"/>
        <v>6.1493055555555758</v>
      </c>
      <c r="H163" s="28">
        <f t="shared" si="14"/>
        <v>6.4409722222222427</v>
      </c>
      <c r="I163">
        <f t="shared" si="15"/>
        <v>1</v>
      </c>
      <c r="J163">
        <f t="shared" si="16"/>
        <v>1</v>
      </c>
      <c r="K163" t="s">
        <v>1524</v>
      </c>
      <c r="R163" t="s">
        <v>2621</v>
      </c>
      <c r="S163" t="s">
        <v>1940</v>
      </c>
      <c r="T163" t="s">
        <v>2622</v>
      </c>
      <c r="U163" t="s">
        <v>2623</v>
      </c>
      <c r="V163" t="s">
        <v>2624</v>
      </c>
      <c r="Z163" t="s">
        <v>1908</v>
      </c>
    </row>
    <row r="164" spans="1:32">
      <c r="A164" t="s">
        <v>1315</v>
      </c>
      <c r="B164" s="1" t="s">
        <v>37</v>
      </c>
      <c r="C164" t="s">
        <v>1843</v>
      </c>
      <c r="D164" s="1" t="str">
        <f t="shared" si="13"/>
        <v>middle-haul flights</v>
      </c>
      <c r="E164" s="2">
        <f t="shared" si="18"/>
        <v>43400</v>
      </c>
      <c r="F164" s="28">
        <f t="shared" si="17"/>
        <v>6.1875000000000204</v>
      </c>
      <c r="H164" s="28">
        <f t="shared" si="14"/>
        <v>6.4791666666666874</v>
      </c>
      <c r="I164">
        <f t="shared" si="15"/>
        <v>1</v>
      </c>
      <c r="J164">
        <f t="shared" si="16"/>
        <v>1</v>
      </c>
      <c r="K164" t="s">
        <v>1525</v>
      </c>
      <c r="R164" t="s">
        <v>2625</v>
      </c>
      <c r="S164" t="s">
        <v>1904</v>
      </c>
      <c r="T164" t="s">
        <v>2626</v>
      </c>
      <c r="U164" t="s">
        <v>2627</v>
      </c>
      <c r="V164" t="s">
        <v>2628</v>
      </c>
      <c r="AD164" t="s">
        <v>1908</v>
      </c>
      <c r="AF164" t="s">
        <v>1713</v>
      </c>
    </row>
    <row r="165" spans="1:32">
      <c r="A165" t="s">
        <v>1316</v>
      </c>
      <c r="B165" s="1" t="s">
        <v>37</v>
      </c>
      <c r="C165" t="s">
        <v>1873</v>
      </c>
      <c r="D165" s="1" t="str">
        <f t="shared" si="13"/>
        <v>middle-haul flights</v>
      </c>
      <c r="E165" s="2">
        <f t="shared" si="18"/>
        <v>43420</v>
      </c>
      <c r="F165" s="28">
        <f t="shared" si="17"/>
        <v>6.2256944444444651</v>
      </c>
      <c r="H165" s="28">
        <f t="shared" si="14"/>
        <v>6.517361111111132</v>
      </c>
      <c r="I165">
        <f t="shared" si="15"/>
        <v>1</v>
      </c>
      <c r="J165">
        <f t="shared" si="16"/>
        <v>1</v>
      </c>
      <c r="K165" t="s">
        <v>1526</v>
      </c>
      <c r="R165" t="s">
        <v>2629</v>
      </c>
      <c r="S165" t="s">
        <v>1940</v>
      </c>
      <c r="T165" t="s">
        <v>2630</v>
      </c>
      <c r="U165" t="s">
        <v>2631</v>
      </c>
      <c r="V165" t="s">
        <v>2632</v>
      </c>
      <c r="W165" t="s">
        <v>1908</v>
      </c>
      <c r="Z165" t="s">
        <v>1908</v>
      </c>
      <c r="AE165" t="s">
        <v>1895</v>
      </c>
    </row>
    <row r="166" spans="1:32">
      <c r="A166" t="s">
        <v>1317</v>
      </c>
      <c r="B166" s="1" t="s">
        <v>37</v>
      </c>
      <c r="C166" t="s">
        <v>1851</v>
      </c>
      <c r="D166" s="1" t="str">
        <f t="shared" si="13"/>
        <v>middle-haul flights</v>
      </c>
      <c r="E166" s="2">
        <f t="shared" si="18"/>
        <v>43440</v>
      </c>
      <c r="F166" s="28">
        <f t="shared" si="17"/>
        <v>6.2638888888889097</v>
      </c>
      <c r="H166" s="28">
        <f t="shared" si="14"/>
        <v>6.5555555555555767</v>
      </c>
      <c r="I166">
        <f t="shared" si="15"/>
        <v>1</v>
      </c>
      <c r="J166">
        <f t="shared" si="16"/>
        <v>1</v>
      </c>
      <c r="K166" t="s">
        <v>1527</v>
      </c>
      <c r="R166" t="s">
        <v>2633</v>
      </c>
      <c r="S166" t="s">
        <v>1904</v>
      </c>
      <c r="T166" t="s">
        <v>2634</v>
      </c>
      <c r="U166" t="s">
        <v>2635</v>
      </c>
      <c r="V166" t="s">
        <v>2636</v>
      </c>
      <c r="AD166" t="s">
        <v>1908</v>
      </c>
      <c r="AF166" t="s">
        <v>2637</v>
      </c>
    </row>
    <row r="167" spans="1:32">
      <c r="A167" t="s">
        <v>1318</v>
      </c>
      <c r="B167" s="1" t="s">
        <v>37</v>
      </c>
      <c r="C167" t="s">
        <v>1872</v>
      </c>
      <c r="D167" s="1" t="str">
        <f t="shared" si="13"/>
        <v>middle-haul flights</v>
      </c>
      <c r="E167" s="2">
        <f t="shared" si="18"/>
        <v>43460</v>
      </c>
      <c r="F167" s="28">
        <f t="shared" si="17"/>
        <v>6.3020833333333544</v>
      </c>
      <c r="H167" s="28">
        <f t="shared" si="14"/>
        <v>6.5937500000000213</v>
      </c>
      <c r="I167">
        <f t="shared" si="15"/>
        <v>1</v>
      </c>
      <c r="J167">
        <f t="shared" si="16"/>
        <v>1</v>
      </c>
      <c r="K167" t="s">
        <v>1528</v>
      </c>
      <c r="R167" t="s">
        <v>2638</v>
      </c>
      <c r="S167" t="s">
        <v>1958</v>
      </c>
      <c r="T167" t="s">
        <v>2639</v>
      </c>
      <c r="U167" t="s">
        <v>2640</v>
      </c>
      <c r="V167" t="s">
        <v>2641</v>
      </c>
      <c r="W167" t="s">
        <v>1895</v>
      </c>
      <c r="Y167" t="s">
        <v>1908</v>
      </c>
    </row>
    <row r="168" spans="1:32">
      <c r="A168" t="s">
        <v>1319</v>
      </c>
      <c r="B168" s="1" t="s">
        <v>37</v>
      </c>
      <c r="C168" t="s">
        <v>1625</v>
      </c>
      <c r="D168" s="1" t="str">
        <f>CONCATENATE("long","-","haul"," ","flights")</f>
        <v>long-haul flights</v>
      </c>
      <c r="E168" s="2">
        <f t="shared" si="18"/>
        <v>43480</v>
      </c>
      <c r="F168" s="28">
        <f t="shared" si="17"/>
        <v>6.340277777777799</v>
      </c>
      <c r="H168" s="28">
        <f t="shared" si="14"/>
        <v>6.840277777777799</v>
      </c>
      <c r="I168">
        <f t="shared" si="15"/>
        <v>2</v>
      </c>
      <c r="J168">
        <f t="shared" si="16"/>
        <v>2</v>
      </c>
      <c r="K168" t="s">
        <v>1529</v>
      </c>
      <c r="R168" t="s">
        <v>2642</v>
      </c>
      <c r="S168" t="s">
        <v>1898</v>
      </c>
      <c r="T168" t="s">
        <v>2643</v>
      </c>
      <c r="U168" t="s">
        <v>2644</v>
      </c>
      <c r="V168" t="s">
        <v>2645</v>
      </c>
      <c r="X168" t="s">
        <v>1908</v>
      </c>
      <c r="AE168" t="s">
        <v>1895</v>
      </c>
      <c r="AF168" t="s">
        <v>2646</v>
      </c>
    </row>
    <row r="169" spans="1:32">
      <c r="A169" t="s">
        <v>1320</v>
      </c>
      <c r="B169" s="1" t="s">
        <v>37</v>
      </c>
      <c r="C169" t="s">
        <v>1901</v>
      </c>
      <c r="D169" s="1" t="str">
        <f t="shared" ref="D169:D201" si="19">CONCATENATE("long","-","haul"," ","flights")</f>
        <v>long-haul flights</v>
      </c>
      <c r="E169" s="2">
        <f t="shared" si="18"/>
        <v>43500</v>
      </c>
      <c r="F169" s="28">
        <f t="shared" si="17"/>
        <v>6.3784722222222436</v>
      </c>
      <c r="H169" s="28">
        <f t="shared" si="14"/>
        <v>6.8784722222222436</v>
      </c>
      <c r="I169">
        <f t="shared" si="15"/>
        <v>2</v>
      </c>
      <c r="J169">
        <f t="shared" si="16"/>
        <v>2</v>
      </c>
      <c r="K169" t="s">
        <v>1530</v>
      </c>
      <c r="R169" t="s">
        <v>2647</v>
      </c>
      <c r="S169" t="s">
        <v>1930</v>
      </c>
      <c r="T169" t="s">
        <v>2648</v>
      </c>
      <c r="U169" t="s">
        <v>2649</v>
      </c>
      <c r="V169" t="s">
        <v>2650</v>
      </c>
      <c r="AA169" t="s">
        <v>1908</v>
      </c>
    </row>
    <row r="170" spans="1:32">
      <c r="A170" t="s">
        <v>1321</v>
      </c>
      <c r="B170" s="1" t="s">
        <v>37</v>
      </c>
      <c r="C170" t="s">
        <v>1907</v>
      </c>
      <c r="D170" s="1" t="str">
        <f t="shared" si="19"/>
        <v>long-haul flights</v>
      </c>
      <c r="E170" s="2">
        <f t="shared" si="18"/>
        <v>43520</v>
      </c>
      <c r="F170" s="28">
        <f t="shared" si="17"/>
        <v>6.4166666666666883</v>
      </c>
      <c r="H170" s="28">
        <f t="shared" si="14"/>
        <v>6.9166666666666883</v>
      </c>
      <c r="I170">
        <f t="shared" si="15"/>
        <v>2</v>
      </c>
      <c r="J170">
        <f t="shared" si="16"/>
        <v>2</v>
      </c>
      <c r="K170" t="s">
        <v>1531</v>
      </c>
      <c r="R170" t="s">
        <v>2651</v>
      </c>
      <c r="S170" t="s">
        <v>1930</v>
      </c>
      <c r="T170" t="s">
        <v>2652</v>
      </c>
      <c r="U170" t="s">
        <v>2653</v>
      </c>
      <c r="V170" t="s">
        <v>2654</v>
      </c>
      <c r="AA170" t="s">
        <v>1908</v>
      </c>
    </row>
    <row r="171" spans="1:32">
      <c r="A171" t="s">
        <v>1322</v>
      </c>
      <c r="B171" s="1" t="s">
        <v>37</v>
      </c>
      <c r="C171" t="s">
        <v>1912</v>
      </c>
      <c r="D171" s="1" t="str">
        <f t="shared" si="19"/>
        <v>long-haul flights</v>
      </c>
      <c r="E171" s="2">
        <f t="shared" si="18"/>
        <v>43540</v>
      </c>
      <c r="F171" s="28">
        <f t="shared" si="17"/>
        <v>6.4548611111111329</v>
      </c>
      <c r="H171" s="28">
        <f t="shared" si="14"/>
        <v>6.9548611111111329</v>
      </c>
      <c r="I171">
        <f t="shared" si="15"/>
        <v>2</v>
      </c>
      <c r="J171">
        <f t="shared" si="16"/>
        <v>2</v>
      </c>
      <c r="K171" t="s">
        <v>1532</v>
      </c>
      <c r="R171" t="s">
        <v>2655</v>
      </c>
      <c r="S171" t="s">
        <v>2226</v>
      </c>
      <c r="T171" t="s">
        <v>2656</v>
      </c>
      <c r="U171" t="s">
        <v>2657</v>
      </c>
      <c r="V171" t="s">
        <v>2658</v>
      </c>
      <c r="W171" t="s">
        <v>1908</v>
      </c>
      <c r="X171" t="s">
        <v>1908</v>
      </c>
      <c r="Y171" t="s">
        <v>1908</v>
      </c>
      <c r="AA171" t="s">
        <v>1908</v>
      </c>
      <c r="AB171" t="s">
        <v>1908</v>
      </c>
      <c r="AE171" t="s">
        <v>1895</v>
      </c>
      <c r="AF171" t="s">
        <v>2659</v>
      </c>
    </row>
    <row r="172" spans="1:32">
      <c r="A172" t="s">
        <v>1323</v>
      </c>
      <c r="B172" s="1" t="s">
        <v>37</v>
      </c>
      <c r="C172" t="s">
        <v>1917</v>
      </c>
      <c r="D172" s="1" t="str">
        <f t="shared" si="19"/>
        <v>long-haul flights</v>
      </c>
      <c r="E172" s="2">
        <f t="shared" si="18"/>
        <v>43560</v>
      </c>
      <c r="F172" s="28">
        <f t="shared" si="17"/>
        <v>6.4930555555555776</v>
      </c>
      <c r="H172" s="28">
        <f t="shared" si="14"/>
        <v>6.9930555555555776</v>
      </c>
      <c r="I172">
        <f t="shared" si="15"/>
        <v>2</v>
      </c>
      <c r="J172">
        <f t="shared" si="16"/>
        <v>2</v>
      </c>
      <c r="K172" t="s">
        <v>1533</v>
      </c>
      <c r="R172" t="s">
        <v>2660</v>
      </c>
      <c r="S172" t="s">
        <v>1940</v>
      </c>
      <c r="T172" t="s">
        <v>2661</v>
      </c>
      <c r="U172" t="s">
        <v>2662</v>
      </c>
      <c r="V172" t="s">
        <v>2663</v>
      </c>
      <c r="Z172" t="s">
        <v>1908</v>
      </c>
    </row>
    <row r="173" spans="1:32">
      <c r="A173" t="s">
        <v>1324</v>
      </c>
      <c r="B173" s="1" t="s">
        <v>37</v>
      </c>
      <c r="C173" t="s">
        <v>1921</v>
      </c>
      <c r="D173" s="1" t="str">
        <f t="shared" si="19"/>
        <v>long-haul flights</v>
      </c>
      <c r="E173" s="2">
        <f t="shared" si="18"/>
        <v>43580</v>
      </c>
      <c r="F173" s="28">
        <f t="shared" si="17"/>
        <v>6.5312500000000222</v>
      </c>
      <c r="H173" s="28">
        <f t="shared" si="14"/>
        <v>7.0312500000000222</v>
      </c>
      <c r="I173">
        <f t="shared" si="15"/>
        <v>2</v>
      </c>
      <c r="J173">
        <f t="shared" si="16"/>
        <v>2</v>
      </c>
      <c r="K173" t="s">
        <v>1534</v>
      </c>
      <c r="R173" t="s">
        <v>2664</v>
      </c>
      <c r="S173" t="s">
        <v>1914</v>
      </c>
      <c r="T173" t="s">
        <v>2665</v>
      </c>
      <c r="U173" t="s">
        <v>2666</v>
      </c>
      <c r="V173" t="s">
        <v>2667</v>
      </c>
      <c r="W173" t="s">
        <v>1908</v>
      </c>
    </row>
    <row r="174" spans="1:32">
      <c r="A174" t="s">
        <v>1325</v>
      </c>
      <c r="B174" s="1" t="s">
        <v>37</v>
      </c>
      <c r="C174" t="s">
        <v>1927</v>
      </c>
      <c r="D174" s="1" t="str">
        <f t="shared" si="19"/>
        <v>long-haul flights</v>
      </c>
      <c r="E174" s="2">
        <f t="shared" si="18"/>
        <v>43600</v>
      </c>
      <c r="F174" s="28">
        <f t="shared" si="17"/>
        <v>6.5694444444444668</v>
      </c>
      <c r="H174" s="28">
        <f t="shared" si="14"/>
        <v>7.0694444444444668</v>
      </c>
      <c r="I174">
        <f t="shared" si="15"/>
        <v>2</v>
      </c>
      <c r="J174">
        <f t="shared" si="16"/>
        <v>2</v>
      </c>
      <c r="K174" t="s">
        <v>1535</v>
      </c>
      <c r="R174" t="s">
        <v>1578</v>
      </c>
    </row>
    <row r="175" spans="1:32">
      <c r="A175" t="s">
        <v>1326</v>
      </c>
      <c r="B175" s="1" t="s">
        <v>37</v>
      </c>
      <c r="C175" t="s">
        <v>1933</v>
      </c>
      <c r="D175" s="1" t="str">
        <f t="shared" si="19"/>
        <v>long-haul flights</v>
      </c>
      <c r="E175" s="2">
        <f t="shared" si="18"/>
        <v>43620</v>
      </c>
      <c r="F175" s="28">
        <f t="shared" si="17"/>
        <v>6.6076388888889115</v>
      </c>
      <c r="H175" s="28">
        <f t="shared" si="14"/>
        <v>7.1076388888889115</v>
      </c>
      <c r="I175">
        <f t="shared" si="15"/>
        <v>2</v>
      </c>
      <c r="J175">
        <f t="shared" si="16"/>
        <v>2</v>
      </c>
      <c r="K175" t="s">
        <v>1536</v>
      </c>
      <c r="R175" t="s">
        <v>2668</v>
      </c>
      <c r="S175" t="s">
        <v>187</v>
      </c>
      <c r="T175" t="s">
        <v>2669</v>
      </c>
      <c r="U175" t="s">
        <v>2670</v>
      </c>
      <c r="V175" t="s">
        <v>2671</v>
      </c>
      <c r="AC175" t="s">
        <v>1908</v>
      </c>
      <c r="AF175" t="s">
        <v>2672</v>
      </c>
    </row>
    <row r="176" spans="1:32">
      <c r="A176" t="s">
        <v>1327</v>
      </c>
      <c r="B176" s="1" t="s">
        <v>37</v>
      </c>
      <c r="C176" t="s">
        <v>1937</v>
      </c>
      <c r="D176" s="1" t="str">
        <f t="shared" si="19"/>
        <v>long-haul flights</v>
      </c>
      <c r="E176" s="2">
        <f t="shared" si="18"/>
        <v>43640</v>
      </c>
      <c r="F176" s="28">
        <f t="shared" si="17"/>
        <v>6.6458333333333561</v>
      </c>
      <c r="H176" s="28">
        <f t="shared" si="14"/>
        <v>7.1458333333333561</v>
      </c>
      <c r="I176">
        <f t="shared" si="15"/>
        <v>2</v>
      </c>
      <c r="J176">
        <f t="shared" si="16"/>
        <v>2</v>
      </c>
      <c r="K176" t="s">
        <v>1537</v>
      </c>
      <c r="R176" t="s">
        <v>2673</v>
      </c>
      <c r="S176" t="s">
        <v>2674</v>
      </c>
      <c r="T176" t="s">
        <v>2675</v>
      </c>
      <c r="U176" t="s">
        <v>2676</v>
      </c>
      <c r="V176" t="s">
        <v>2677</v>
      </c>
      <c r="X176" t="s">
        <v>1895</v>
      </c>
      <c r="AC176" t="s">
        <v>1895</v>
      </c>
      <c r="AF176" t="s">
        <v>2678</v>
      </c>
    </row>
    <row r="177" spans="1:32">
      <c r="A177" t="s">
        <v>1328</v>
      </c>
      <c r="B177" s="1" t="s">
        <v>37</v>
      </c>
      <c r="C177" t="s">
        <v>1943</v>
      </c>
      <c r="D177" s="1" t="str">
        <f t="shared" si="19"/>
        <v>long-haul flights</v>
      </c>
      <c r="E177" s="2">
        <f t="shared" si="18"/>
        <v>43660</v>
      </c>
      <c r="F177" s="28">
        <f t="shared" si="17"/>
        <v>6.6840277777778008</v>
      </c>
      <c r="H177" s="28">
        <f t="shared" si="14"/>
        <v>7.1840277777778008</v>
      </c>
      <c r="I177">
        <f t="shared" si="15"/>
        <v>2</v>
      </c>
      <c r="J177">
        <f t="shared" si="16"/>
        <v>2</v>
      </c>
      <c r="K177" t="s">
        <v>1538</v>
      </c>
      <c r="R177" t="s">
        <v>2679</v>
      </c>
      <c r="S177" t="s">
        <v>1904</v>
      </c>
      <c r="T177" t="s">
        <v>2680</v>
      </c>
      <c r="U177" t="s">
        <v>2681</v>
      </c>
      <c r="V177" t="s">
        <v>2682</v>
      </c>
      <c r="W177" t="s">
        <v>1895</v>
      </c>
      <c r="AF177" t="s">
        <v>2683</v>
      </c>
    </row>
    <row r="178" spans="1:32">
      <c r="A178" t="s">
        <v>1329</v>
      </c>
      <c r="B178" s="1" t="s">
        <v>37</v>
      </c>
      <c r="C178" t="s">
        <v>1947</v>
      </c>
      <c r="D178" s="1" t="str">
        <f t="shared" si="19"/>
        <v>long-haul flights</v>
      </c>
      <c r="E178" s="2">
        <f t="shared" si="18"/>
        <v>43680</v>
      </c>
      <c r="F178" s="28">
        <f t="shared" si="17"/>
        <v>6.7222222222222454</v>
      </c>
      <c r="H178" s="28">
        <f t="shared" si="14"/>
        <v>7.2222222222222454</v>
      </c>
      <c r="I178">
        <f t="shared" si="15"/>
        <v>2</v>
      </c>
      <c r="J178">
        <f t="shared" si="16"/>
        <v>2</v>
      </c>
      <c r="K178" t="s">
        <v>1539</v>
      </c>
      <c r="R178" t="s">
        <v>2684</v>
      </c>
      <c r="S178" t="s">
        <v>1969</v>
      </c>
      <c r="T178" t="s">
        <v>2685</v>
      </c>
      <c r="U178" t="s">
        <v>2686</v>
      </c>
      <c r="V178" t="s">
        <v>2687</v>
      </c>
      <c r="X178" t="s">
        <v>1908</v>
      </c>
      <c r="AC178" t="s">
        <v>1908</v>
      </c>
      <c r="AF178" t="s">
        <v>2688</v>
      </c>
    </row>
    <row r="179" spans="1:32">
      <c r="A179" t="s">
        <v>1330</v>
      </c>
      <c r="B179" s="1" t="s">
        <v>37</v>
      </c>
      <c r="C179" t="s">
        <v>1952</v>
      </c>
      <c r="D179" s="1" t="str">
        <f t="shared" si="19"/>
        <v>long-haul flights</v>
      </c>
      <c r="E179" s="2">
        <f t="shared" si="18"/>
        <v>43700</v>
      </c>
      <c r="F179" s="28">
        <f t="shared" si="17"/>
        <v>6.7604166666666901</v>
      </c>
      <c r="H179" s="28">
        <f t="shared" si="14"/>
        <v>7.2604166666666901</v>
      </c>
      <c r="I179">
        <f t="shared" si="15"/>
        <v>2</v>
      </c>
      <c r="J179">
        <f t="shared" si="16"/>
        <v>2</v>
      </c>
      <c r="K179" t="s">
        <v>1540</v>
      </c>
      <c r="R179" t="s">
        <v>2689</v>
      </c>
      <c r="S179" t="s">
        <v>1904</v>
      </c>
      <c r="T179" t="s">
        <v>2690</v>
      </c>
      <c r="U179" t="s">
        <v>2691</v>
      </c>
      <c r="V179" t="s">
        <v>2692</v>
      </c>
      <c r="W179" t="s">
        <v>1908</v>
      </c>
      <c r="Y179" t="s">
        <v>1895</v>
      </c>
      <c r="AF179" t="s">
        <v>2693</v>
      </c>
    </row>
    <row r="180" spans="1:32">
      <c r="A180" t="s">
        <v>1331</v>
      </c>
      <c r="B180" s="1" t="s">
        <v>37</v>
      </c>
      <c r="C180" t="s">
        <v>1956</v>
      </c>
      <c r="D180" s="1" t="str">
        <f t="shared" si="19"/>
        <v>long-haul flights</v>
      </c>
      <c r="E180" s="2">
        <f t="shared" si="18"/>
        <v>43720</v>
      </c>
      <c r="F180" s="28">
        <f t="shared" si="17"/>
        <v>6.7986111111111347</v>
      </c>
      <c r="H180" s="28">
        <f t="shared" si="14"/>
        <v>7.2986111111111347</v>
      </c>
      <c r="I180">
        <f t="shared" si="15"/>
        <v>2</v>
      </c>
      <c r="J180">
        <f t="shared" si="16"/>
        <v>2</v>
      </c>
      <c r="K180" t="s">
        <v>1541</v>
      </c>
      <c r="R180" t="s">
        <v>2694</v>
      </c>
      <c r="S180" t="s">
        <v>2104</v>
      </c>
      <c r="T180" t="s">
        <v>2695</v>
      </c>
      <c r="U180" t="s">
        <v>2696</v>
      </c>
      <c r="V180" t="s">
        <v>2697</v>
      </c>
      <c r="X180" t="s">
        <v>1908</v>
      </c>
    </row>
    <row r="181" spans="1:32">
      <c r="A181" t="s">
        <v>1332</v>
      </c>
      <c r="B181" s="1" t="s">
        <v>37</v>
      </c>
      <c r="C181" t="s">
        <v>1961</v>
      </c>
      <c r="D181" s="1" t="str">
        <f t="shared" si="19"/>
        <v>long-haul flights</v>
      </c>
      <c r="E181" s="2">
        <f t="shared" si="18"/>
        <v>43740</v>
      </c>
      <c r="F181" s="28">
        <f t="shared" si="17"/>
        <v>6.8368055555555793</v>
      </c>
      <c r="H181" s="28">
        <f t="shared" si="14"/>
        <v>7.3368055555555793</v>
      </c>
      <c r="I181">
        <f t="shared" si="15"/>
        <v>2</v>
      </c>
      <c r="J181">
        <f t="shared" si="16"/>
        <v>2</v>
      </c>
      <c r="K181" t="s">
        <v>1542</v>
      </c>
      <c r="R181" t="s">
        <v>2694</v>
      </c>
      <c r="S181" t="s">
        <v>2104</v>
      </c>
      <c r="T181" t="s">
        <v>2698</v>
      </c>
      <c r="U181" t="s">
        <v>2699</v>
      </c>
      <c r="V181" t="s">
        <v>2700</v>
      </c>
      <c r="X181" t="s">
        <v>1908</v>
      </c>
      <c r="AB181" t="s">
        <v>1895</v>
      </c>
      <c r="AC181" t="s">
        <v>1908</v>
      </c>
      <c r="AE181" t="s">
        <v>1895</v>
      </c>
      <c r="AF181" t="s">
        <v>2701</v>
      </c>
    </row>
    <row r="182" spans="1:32">
      <c r="A182" t="s">
        <v>1333</v>
      </c>
      <c r="B182" s="1" t="s">
        <v>37</v>
      </c>
      <c r="C182" t="s">
        <v>1966</v>
      </c>
      <c r="D182" s="1" t="str">
        <f t="shared" si="19"/>
        <v>long-haul flights</v>
      </c>
      <c r="E182" s="2">
        <f t="shared" si="18"/>
        <v>43760</v>
      </c>
      <c r="F182" s="28">
        <f t="shared" si="17"/>
        <v>6.875000000000024</v>
      </c>
      <c r="H182" s="28">
        <f t="shared" si="14"/>
        <v>7.375000000000024</v>
      </c>
      <c r="I182">
        <f t="shared" si="15"/>
        <v>2</v>
      </c>
      <c r="J182">
        <f t="shared" si="16"/>
        <v>2</v>
      </c>
      <c r="K182" t="s">
        <v>1543</v>
      </c>
      <c r="R182" t="s">
        <v>2702</v>
      </c>
      <c r="S182" t="s">
        <v>1958</v>
      </c>
      <c r="T182" t="s">
        <v>2703</v>
      </c>
      <c r="U182" t="s">
        <v>2704</v>
      </c>
      <c r="V182" t="s">
        <v>2705</v>
      </c>
      <c r="Y182" t="s">
        <v>1908</v>
      </c>
    </row>
    <row r="183" spans="1:32">
      <c r="A183" t="s">
        <v>1334</v>
      </c>
      <c r="B183" s="1" t="s">
        <v>37</v>
      </c>
      <c r="C183" t="s">
        <v>1972</v>
      </c>
      <c r="D183" s="1" t="str">
        <f t="shared" si="19"/>
        <v>long-haul flights</v>
      </c>
      <c r="E183" s="2">
        <f t="shared" si="18"/>
        <v>43780</v>
      </c>
      <c r="F183" s="28">
        <f t="shared" si="17"/>
        <v>6.9131944444444686</v>
      </c>
      <c r="H183" s="28">
        <f t="shared" si="14"/>
        <v>7.4131944444444686</v>
      </c>
      <c r="I183">
        <f t="shared" si="15"/>
        <v>2</v>
      </c>
      <c r="J183">
        <f t="shared" si="16"/>
        <v>2</v>
      </c>
      <c r="K183" t="s">
        <v>1544</v>
      </c>
      <c r="R183" t="s">
        <v>2706</v>
      </c>
      <c r="S183" t="s">
        <v>1958</v>
      </c>
      <c r="T183" t="s">
        <v>2707</v>
      </c>
      <c r="U183" t="s">
        <v>2708</v>
      </c>
      <c r="V183" t="s">
        <v>2709</v>
      </c>
      <c r="Y183" t="s">
        <v>1908</v>
      </c>
    </row>
    <row r="184" spans="1:32">
      <c r="A184" t="s">
        <v>1335</v>
      </c>
      <c r="B184" s="1" t="s">
        <v>37</v>
      </c>
      <c r="C184" t="s">
        <v>1976</v>
      </c>
      <c r="D184" s="1" t="str">
        <f t="shared" si="19"/>
        <v>long-haul flights</v>
      </c>
      <c r="E184" s="2">
        <f t="shared" si="18"/>
        <v>43800</v>
      </c>
      <c r="F184" s="28">
        <f t="shared" si="17"/>
        <v>6.9513888888889133</v>
      </c>
      <c r="H184" s="28">
        <f t="shared" si="14"/>
        <v>7.4513888888889133</v>
      </c>
      <c r="I184">
        <f t="shared" si="15"/>
        <v>2</v>
      </c>
      <c r="J184">
        <f t="shared" si="16"/>
        <v>2</v>
      </c>
      <c r="K184" t="s">
        <v>1545</v>
      </c>
      <c r="R184" t="s">
        <v>2710</v>
      </c>
      <c r="S184" t="s">
        <v>1958</v>
      </c>
      <c r="T184" t="s">
        <v>2711</v>
      </c>
      <c r="U184" t="s">
        <v>2712</v>
      </c>
      <c r="V184" t="s">
        <v>2713</v>
      </c>
      <c r="Y184" t="s">
        <v>1908</v>
      </c>
    </row>
    <row r="185" spans="1:32">
      <c r="A185" t="s">
        <v>1336</v>
      </c>
      <c r="B185" s="1" t="s">
        <v>37</v>
      </c>
      <c r="C185" t="s">
        <v>1981</v>
      </c>
      <c r="D185" s="1" t="str">
        <f t="shared" si="19"/>
        <v>long-haul flights</v>
      </c>
      <c r="E185" s="2">
        <f t="shared" si="18"/>
        <v>43820</v>
      </c>
      <c r="F185" s="28">
        <f t="shared" si="17"/>
        <v>6.9895833333333579</v>
      </c>
      <c r="H185" s="28">
        <f t="shared" si="14"/>
        <v>7.4895833333333579</v>
      </c>
      <c r="I185">
        <f t="shared" si="15"/>
        <v>2</v>
      </c>
      <c r="J185">
        <f t="shared" si="16"/>
        <v>2</v>
      </c>
      <c r="K185" t="s">
        <v>1546</v>
      </c>
      <c r="R185" t="s">
        <v>2714</v>
      </c>
    </row>
    <row r="186" spans="1:32">
      <c r="A186" t="s">
        <v>1337</v>
      </c>
      <c r="B186" s="1" t="s">
        <v>37</v>
      </c>
      <c r="C186" t="s">
        <v>1986</v>
      </c>
      <c r="D186" s="1" t="str">
        <f t="shared" si="19"/>
        <v>long-haul flights</v>
      </c>
      <c r="E186" s="2">
        <f t="shared" si="18"/>
        <v>43840</v>
      </c>
      <c r="F186" s="28">
        <f t="shared" si="17"/>
        <v>7.0277777777778025</v>
      </c>
      <c r="H186" s="28">
        <f t="shared" si="14"/>
        <v>7.5277777777778025</v>
      </c>
      <c r="I186">
        <f t="shared" si="15"/>
        <v>2</v>
      </c>
      <c r="J186">
        <f t="shared" si="16"/>
        <v>2</v>
      </c>
      <c r="K186" t="s">
        <v>1547</v>
      </c>
      <c r="R186" t="s">
        <v>2715</v>
      </c>
      <c r="S186" t="s">
        <v>1904</v>
      </c>
      <c r="T186" t="s">
        <v>2716</v>
      </c>
      <c r="U186" t="s">
        <v>2717</v>
      </c>
      <c r="V186" t="s">
        <v>2718</v>
      </c>
      <c r="Y186" t="s">
        <v>1908</v>
      </c>
    </row>
    <row r="187" spans="1:32">
      <c r="A187" t="s">
        <v>1338</v>
      </c>
      <c r="B187" s="1" t="s">
        <v>37</v>
      </c>
      <c r="C187" t="s">
        <v>1990</v>
      </c>
      <c r="D187" s="1" t="str">
        <f t="shared" si="19"/>
        <v>long-haul flights</v>
      </c>
      <c r="E187" s="2">
        <f t="shared" si="18"/>
        <v>43860</v>
      </c>
      <c r="F187" s="28">
        <f t="shared" si="17"/>
        <v>7.0659722222222472</v>
      </c>
      <c r="H187" s="28">
        <f t="shared" si="14"/>
        <v>7.5659722222222472</v>
      </c>
      <c r="I187">
        <f t="shared" si="15"/>
        <v>2</v>
      </c>
      <c r="J187">
        <f t="shared" si="16"/>
        <v>2</v>
      </c>
      <c r="K187" t="s">
        <v>1548</v>
      </c>
      <c r="R187" t="s">
        <v>2719</v>
      </c>
      <c r="S187" t="s">
        <v>2324</v>
      </c>
      <c r="T187" t="s">
        <v>2720</v>
      </c>
      <c r="U187" t="s">
        <v>2721</v>
      </c>
      <c r="V187" t="s">
        <v>2722</v>
      </c>
      <c r="W187" t="s">
        <v>1908</v>
      </c>
      <c r="Y187" t="s">
        <v>1908</v>
      </c>
      <c r="AF187" t="s">
        <v>2723</v>
      </c>
    </row>
    <row r="188" spans="1:32">
      <c r="A188" t="s">
        <v>1339</v>
      </c>
      <c r="B188" s="1" t="s">
        <v>37</v>
      </c>
      <c r="C188" t="s">
        <v>1994</v>
      </c>
      <c r="D188" s="1" t="str">
        <f t="shared" si="19"/>
        <v>long-haul flights</v>
      </c>
      <c r="E188" s="2">
        <f t="shared" si="18"/>
        <v>42035</v>
      </c>
      <c r="F188" s="28">
        <f t="shared" si="17"/>
        <v>7.1041666666666918</v>
      </c>
      <c r="H188" s="28">
        <f t="shared" si="14"/>
        <v>7.6041666666666918</v>
      </c>
      <c r="I188">
        <f t="shared" si="15"/>
        <v>2</v>
      </c>
      <c r="J188">
        <f t="shared" si="16"/>
        <v>2</v>
      </c>
      <c r="K188" t="s">
        <v>1549</v>
      </c>
      <c r="R188" t="s">
        <v>2724</v>
      </c>
      <c r="S188" t="s">
        <v>1904</v>
      </c>
      <c r="T188" t="s">
        <v>2725</v>
      </c>
      <c r="U188" t="s">
        <v>2726</v>
      </c>
      <c r="V188" t="s">
        <v>2727</v>
      </c>
      <c r="W188" t="s">
        <v>1908</v>
      </c>
      <c r="Y188" t="s">
        <v>1908</v>
      </c>
      <c r="AD188" t="s">
        <v>1908</v>
      </c>
      <c r="AF188" t="s">
        <v>2728</v>
      </c>
    </row>
    <row r="189" spans="1:32">
      <c r="A189" t="s">
        <v>1340</v>
      </c>
      <c r="B189" s="1" t="s">
        <v>37</v>
      </c>
      <c r="C189" t="s">
        <v>1999</v>
      </c>
      <c r="D189" s="1" t="str">
        <f t="shared" si="19"/>
        <v>long-haul flights</v>
      </c>
      <c r="E189" s="2">
        <f t="shared" si="18"/>
        <v>42055</v>
      </c>
      <c r="F189" s="28">
        <f t="shared" si="17"/>
        <v>7.1423611111111365</v>
      </c>
      <c r="H189" s="28">
        <f t="shared" si="14"/>
        <v>7.6423611111111365</v>
      </c>
      <c r="I189">
        <f t="shared" si="15"/>
        <v>2</v>
      </c>
      <c r="J189">
        <f t="shared" si="16"/>
        <v>2</v>
      </c>
      <c r="K189" t="s">
        <v>1550</v>
      </c>
      <c r="R189" t="s">
        <v>2729</v>
      </c>
      <c r="S189" t="s">
        <v>1969</v>
      </c>
      <c r="T189" t="s">
        <v>2730</v>
      </c>
      <c r="U189" t="s">
        <v>2731</v>
      </c>
      <c r="V189" t="s">
        <v>2732</v>
      </c>
      <c r="W189" t="s">
        <v>1895</v>
      </c>
      <c r="Y189" t="s">
        <v>1895</v>
      </c>
      <c r="AF189" t="s">
        <v>2733</v>
      </c>
    </row>
    <row r="190" spans="1:32">
      <c r="A190" t="s">
        <v>1341</v>
      </c>
      <c r="B190" s="1" t="s">
        <v>37</v>
      </c>
      <c r="C190" t="s">
        <v>2003</v>
      </c>
      <c r="D190" s="1" t="str">
        <f t="shared" si="19"/>
        <v>long-haul flights</v>
      </c>
      <c r="E190" s="2">
        <f t="shared" si="18"/>
        <v>42075</v>
      </c>
      <c r="F190" s="28">
        <f t="shared" si="17"/>
        <v>7.1805555555555811</v>
      </c>
      <c r="H190" s="28">
        <f t="shared" si="14"/>
        <v>7.6805555555555811</v>
      </c>
      <c r="I190">
        <f t="shared" si="15"/>
        <v>2</v>
      </c>
      <c r="J190">
        <f t="shared" si="16"/>
        <v>2</v>
      </c>
      <c r="K190" t="s">
        <v>1551</v>
      </c>
      <c r="R190" t="s">
        <v>2734</v>
      </c>
      <c r="S190" t="s">
        <v>1969</v>
      </c>
      <c r="T190" t="s">
        <v>2735</v>
      </c>
      <c r="U190" t="s">
        <v>2736</v>
      </c>
      <c r="V190" t="s">
        <v>2737</v>
      </c>
      <c r="Y190" t="s">
        <v>1895</v>
      </c>
      <c r="AF190" t="s">
        <v>2738</v>
      </c>
    </row>
    <row r="191" spans="1:32">
      <c r="A191" t="s">
        <v>1342</v>
      </c>
      <c r="B191" s="1" t="s">
        <v>37</v>
      </c>
      <c r="C191" t="s">
        <v>2008</v>
      </c>
      <c r="D191" s="1" t="str">
        <f t="shared" si="19"/>
        <v>long-haul flights</v>
      </c>
      <c r="E191" s="2">
        <f t="shared" si="18"/>
        <v>42095</v>
      </c>
      <c r="F191" s="28">
        <f t="shared" si="17"/>
        <v>7.2187500000000258</v>
      </c>
      <c r="H191" s="28">
        <f t="shared" si="14"/>
        <v>7.7187500000000258</v>
      </c>
      <c r="I191">
        <f t="shared" si="15"/>
        <v>2</v>
      </c>
      <c r="J191">
        <f t="shared" si="16"/>
        <v>2</v>
      </c>
      <c r="K191" t="s">
        <v>1552</v>
      </c>
      <c r="R191" t="s">
        <v>2739</v>
      </c>
      <c r="S191" t="s">
        <v>1969</v>
      </c>
      <c r="T191" t="s">
        <v>2740</v>
      </c>
      <c r="U191" t="s">
        <v>2741</v>
      </c>
      <c r="V191" t="s">
        <v>2742</v>
      </c>
      <c r="W191" t="s">
        <v>1908</v>
      </c>
      <c r="X191" t="s">
        <v>1908</v>
      </c>
      <c r="Y191" t="s">
        <v>1908</v>
      </c>
      <c r="AF191" t="s">
        <v>2743</v>
      </c>
    </row>
    <row r="192" spans="1:32">
      <c r="A192" t="s">
        <v>1343</v>
      </c>
      <c r="B192" s="1" t="s">
        <v>37</v>
      </c>
      <c r="C192" t="s">
        <v>2012</v>
      </c>
      <c r="D192" s="1" t="str">
        <f t="shared" si="19"/>
        <v>long-haul flights</v>
      </c>
      <c r="E192" s="2">
        <f t="shared" si="18"/>
        <v>42115</v>
      </c>
      <c r="F192" s="28">
        <f t="shared" si="17"/>
        <v>7.2569444444444704</v>
      </c>
      <c r="H192" s="28">
        <f t="shared" si="14"/>
        <v>7.7569444444444704</v>
      </c>
      <c r="I192">
        <f t="shared" si="15"/>
        <v>2</v>
      </c>
      <c r="J192">
        <f t="shared" si="16"/>
        <v>2</v>
      </c>
      <c r="K192" t="s">
        <v>1553</v>
      </c>
      <c r="R192" t="s">
        <v>2744</v>
      </c>
      <c r="S192" t="s">
        <v>1969</v>
      </c>
      <c r="T192" t="s">
        <v>2745</v>
      </c>
      <c r="U192" t="s">
        <v>2746</v>
      </c>
      <c r="V192" t="s">
        <v>2747</v>
      </c>
      <c r="X192" t="s">
        <v>1908</v>
      </c>
      <c r="Y192" t="s">
        <v>1908</v>
      </c>
      <c r="AF192" t="s">
        <v>2748</v>
      </c>
    </row>
    <row r="193" spans="1:31">
      <c r="A193" t="s">
        <v>1344</v>
      </c>
      <c r="B193" s="1" t="s">
        <v>37</v>
      </c>
      <c r="C193" t="s">
        <v>2016</v>
      </c>
      <c r="D193" s="1" t="str">
        <f t="shared" si="19"/>
        <v>long-haul flights</v>
      </c>
      <c r="E193" s="2">
        <f t="shared" si="18"/>
        <v>42135</v>
      </c>
      <c r="F193" s="28">
        <f t="shared" si="17"/>
        <v>7.295138888888915</v>
      </c>
      <c r="H193" s="28">
        <f t="shared" si="14"/>
        <v>7.795138888888915</v>
      </c>
      <c r="I193">
        <f t="shared" si="15"/>
        <v>2</v>
      </c>
      <c r="J193">
        <f t="shared" si="16"/>
        <v>2</v>
      </c>
      <c r="K193" t="s">
        <v>1554</v>
      </c>
      <c r="R193" t="s">
        <v>2749</v>
      </c>
      <c r="S193" t="s">
        <v>2353</v>
      </c>
      <c r="T193" t="s">
        <v>2750</v>
      </c>
      <c r="U193" t="s">
        <v>2751</v>
      </c>
      <c r="V193" t="s">
        <v>2752</v>
      </c>
      <c r="W193" t="s">
        <v>1908</v>
      </c>
      <c r="Y193" t="s">
        <v>1908</v>
      </c>
    </row>
    <row r="194" spans="1:31">
      <c r="A194" t="s">
        <v>1345</v>
      </c>
      <c r="B194" s="1" t="s">
        <v>37</v>
      </c>
      <c r="C194" t="s">
        <v>2021</v>
      </c>
      <c r="D194" s="1" t="str">
        <f t="shared" si="19"/>
        <v>long-haul flights</v>
      </c>
      <c r="E194" s="2">
        <f t="shared" si="18"/>
        <v>42155</v>
      </c>
      <c r="F194" s="28">
        <f t="shared" si="17"/>
        <v>7.3333333333333597</v>
      </c>
      <c r="H194" s="28">
        <f t="shared" si="14"/>
        <v>7.8333333333333597</v>
      </c>
      <c r="I194">
        <f t="shared" si="15"/>
        <v>2</v>
      </c>
      <c r="J194">
        <f t="shared" si="16"/>
        <v>2</v>
      </c>
      <c r="K194" t="s">
        <v>1555</v>
      </c>
      <c r="R194" t="s">
        <v>2753</v>
      </c>
      <c r="S194" t="s">
        <v>1940</v>
      </c>
      <c r="T194" t="s">
        <v>2754</v>
      </c>
      <c r="U194" t="s">
        <v>2755</v>
      </c>
      <c r="V194" t="s">
        <v>2756</v>
      </c>
      <c r="W194" t="s">
        <v>1908</v>
      </c>
      <c r="Z194" t="s">
        <v>1908</v>
      </c>
      <c r="AE194" t="s">
        <v>1895</v>
      </c>
    </row>
    <row r="195" spans="1:31">
      <c r="A195" t="s">
        <v>1346</v>
      </c>
      <c r="B195" s="1" t="s">
        <v>37</v>
      </c>
      <c r="C195" t="s">
        <v>2026</v>
      </c>
      <c r="D195" s="1" t="str">
        <f t="shared" si="19"/>
        <v>long-haul flights</v>
      </c>
      <c r="E195" s="2">
        <f t="shared" si="18"/>
        <v>42175</v>
      </c>
      <c r="F195" s="28">
        <f t="shared" si="17"/>
        <v>7.3715277777778043</v>
      </c>
      <c r="H195" s="28">
        <f t="shared" ref="H195:H201" si="20">IF(D195=CONCATENATE("short","-","haul"," ","flights"),F195+"03:00:00",(IF(D195=CONCATENATE("middle","-","haul"," ","flights"),F195+"07:00:00",F195+"12:00:00")))</f>
        <v>7.8715277777778043</v>
      </c>
      <c r="I195">
        <f t="shared" ref="I195:I201" si="21">IF(D195=CONCATENATE("short","-","haul"," ","flights"),0,(IF(D195=CONCATENATE("middle","-","haul"," ","flights"),1,2)))</f>
        <v>2</v>
      </c>
      <c r="J195">
        <f t="shared" ref="J195:J201" si="22">IF(D195=CONCATENATE("short","-","haul"," ","flights"),0,(IF(D195=CONCATENATE("middle","-","haul"," ","flights"),1,2)))</f>
        <v>2</v>
      </c>
      <c r="K195" t="s">
        <v>1556</v>
      </c>
    </row>
    <row r="196" spans="1:31">
      <c r="A196" t="s">
        <v>1347</v>
      </c>
      <c r="B196" s="1" t="s">
        <v>37</v>
      </c>
      <c r="C196" t="s">
        <v>2030</v>
      </c>
      <c r="D196" s="1" t="str">
        <f t="shared" si="19"/>
        <v>long-haul flights</v>
      </c>
      <c r="E196" s="2">
        <f t="shared" si="18"/>
        <v>42195</v>
      </c>
      <c r="F196" s="28">
        <f t="shared" ref="F196:F201" si="23">F195+"00:55:00"</f>
        <v>7.409722222222249</v>
      </c>
      <c r="H196" s="28">
        <f t="shared" si="20"/>
        <v>7.909722222222249</v>
      </c>
      <c r="I196">
        <f t="shared" si="21"/>
        <v>2</v>
      </c>
      <c r="J196">
        <f t="shared" si="22"/>
        <v>2</v>
      </c>
      <c r="K196" t="s">
        <v>1557</v>
      </c>
    </row>
    <row r="197" spans="1:31">
      <c r="A197" t="s">
        <v>1348</v>
      </c>
      <c r="B197" s="1" t="s">
        <v>37</v>
      </c>
      <c r="C197" t="s">
        <v>2035</v>
      </c>
      <c r="D197" s="1" t="str">
        <f t="shared" si="19"/>
        <v>long-haul flights</v>
      </c>
      <c r="E197" s="2">
        <f t="shared" si="18"/>
        <v>42215</v>
      </c>
      <c r="F197" s="28">
        <f t="shared" si="23"/>
        <v>7.4479166666666936</v>
      </c>
      <c r="H197" s="28">
        <f t="shared" si="20"/>
        <v>7.9479166666666936</v>
      </c>
      <c r="I197">
        <f t="shared" si="21"/>
        <v>2</v>
      </c>
      <c r="J197">
        <f t="shared" si="22"/>
        <v>2</v>
      </c>
      <c r="K197" t="s">
        <v>1558</v>
      </c>
    </row>
    <row r="198" spans="1:31">
      <c r="A198" t="s">
        <v>1349</v>
      </c>
      <c r="B198" s="1" t="s">
        <v>37</v>
      </c>
      <c r="C198" t="s">
        <v>2040</v>
      </c>
      <c r="D198" s="1" t="str">
        <f>CONCATENATE("long","-","haul"," ","flights")</f>
        <v>long-haul flights</v>
      </c>
      <c r="E198" s="2">
        <f t="shared" si="18"/>
        <v>42235</v>
      </c>
      <c r="F198" s="28">
        <f t="shared" si="23"/>
        <v>7.4861111111111382</v>
      </c>
      <c r="H198" s="28">
        <f t="shared" si="20"/>
        <v>7.9861111111111382</v>
      </c>
      <c r="I198">
        <f t="shared" si="21"/>
        <v>2</v>
      </c>
      <c r="J198">
        <f t="shared" si="22"/>
        <v>2</v>
      </c>
      <c r="K198" t="s">
        <v>1559</v>
      </c>
    </row>
    <row r="199" spans="1:31">
      <c r="A199" t="s">
        <v>1350</v>
      </c>
      <c r="B199" s="1" t="s">
        <v>37</v>
      </c>
      <c r="C199" t="s">
        <v>2044</v>
      </c>
      <c r="D199" s="1" t="str">
        <f t="shared" si="19"/>
        <v>long-haul flights</v>
      </c>
      <c r="E199" s="2">
        <f t="shared" si="18"/>
        <v>42255</v>
      </c>
      <c r="F199" s="28">
        <f t="shared" si="23"/>
        <v>7.5243055555555829</v>
      </c>
      <c r="H199" s="28">
        <f t="shared" si="20"/>
        <v>8.024305555555582</v>
      </c>
      <c r="I199">
        <f t="shared" si="21"/>
        <v>2</v>
      </c>
      <c r="J199">
        <f t="shared" si="22"/>
        <v>2</v>
      </c>
      <c r="K199" t="s">
        <v>1560</v>
      </c>
    </row>
    <row r="200" spans="1:31">
      <c r="A200" t="s">
        <v>1351</v>
      </c>
      <c r="B200" s="1" t="s">
        <v>37</v>
      </c>
      <c r="C200" t="s">
        <v>2048</v>
      </c>
      <c r="D200" s="1" t="str">
        <f t="shared" si="19"/>
        <v>long-haul flights</v>
      </c>
      <c r="E200" s="2">
        <f t="shared" si="18"/>
        <v>42275</v>
      </c>
      <c r="F200" s="28">
        <f t="shared" si="23"/>
        <v>7.5625000000000275</v>
      </c>
      <c r="H200" s="28">
        <f t="shared" si="20"/>
        <v>8.0625000000000284</v>
      </c>
      <c r="I200">
        <f t="shared" si="21"/>
        <v>2</v>
      </c>
      <c r="J200">
        <f t="shared" si="22"/>
        <v>2</v>
      </c>
      <c r="K200" t="s">
        <v>1561</v>
      </c>
    </row>
    <row r="201" spans="1:31">
      <c r="A201" t="s">
        <v>1352</v>
      </c>
      <c r="B201" s="1" t="s">
        <v>37</v>
      </c>
      <c r="C201" t="s">
        <v>2052</v>
      </c>
      <c r="D201" s="1" t="str">
        <f t="shared" si="19"/>
        <v>long-haul flights</v>
      </c>
      <c r="E201" s="2">
        <f t="shared" si="18"/>
        <v>42295</v>
      </c>
      <c r="F201" s="28">
        <f t="shared" si="23"/>
        <v>7.6006944444444722</v>
      </c>
      <c r="H201" s="28">
        <f t="shared" si="20"/>
        <v>8.1006944444444713</v>
      </c>
      <c r="I201">
        <f t="shared" si="21"/>
        <v>2</v>
      </c>
      <c r="J201">
        <f t="shared" si="22"/>
        <v>2</v>
      </c>
      <c r="K201" t="s">
        <v>1562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S20"/>
  <sheetViews>
    <sheetView workbookViewId="0">
      <selection activeCell="D22" sqref="D22"/>
    </sheetView>
  </sheetViews>
  <sheetFormatPr baseColWidth="10"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5" t="s">
        <v>1209</v>
      </c>
      <c r="B1" s="5" t="s">
        <v>18</v>
      </c>
      <c r="C1" s="6" t="s">
        <v>19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34</v>
      </c>
      <c r="I1" s="6" t="s">
        <v>54</v>
      </c>
      <c r="J1" s="6" t="s">
        <v>35</v>
      </c>
      <c r="K1" s="6" t="s">
        <v>36</v>
      </c>
      <c r="L1" s="6" t="s">
        <v>55</v>
      </c>
      <c r="M1" s="6" t="s">
        <v>51</v>
      </c>
      <c r="N1" s="6" t="s">
        <v>53</v>
      </c>
      <c r="O1" s="6" t="s">
        <v>52</v>
      </c>
      <c r="P1" s="6" t="s">
        <v>56</v>
      </c>
      <c r="Q1" s="6" t="s">
        <v>57</v>
      </c>
      <c r="R1" s="6" t="s">
        <v>85</v>
      </c>
    </row>
    <row r="2" spans="1:19">
      <c r="C2" s="3"/>
      <c r="L2" s="3"/>
      <c r="N2" s="3"/>
    </row>
    <row r="3" spans="1:19">
      <c r="C3" s="3"/>
      <c r="L3" s="3"/>
      <c r="N3" s="3"/>
    </row>
    <row r="4" spans="1:19">
      <c r="C4" s="3"/>
      <c r="L4" s="3"/>
      <c r="N4" s="3"/>
    </row>
    <row r="5" spans="1:19">
      <c r="C5" s="3"/>
      <c r="L5" s="3"/>
      <c r="N5" s="3"/>
    </row>
    <row r="6" spans="1:19">
      <c r="C6" s="3"/>
      <c r="L6" s="3"/>
      <c r="N6" s="3"/>
    </row>
    <row r="7" spans="1:19">
      <c r="C7" s="3"/>
      <c r="L7" s="3"/>
      <c r="N7" s="3"/>
    </row>
    <row r="8" spans="1:19">
      <c r="C8" s="3"/>
      <c r="L8" s="3"/>
      <c r="N8" s="3"/>
    </row>
    <row r="9" spans="1:19">
      <c r="C9" s="3"/>
      <c r="L9" s="3"/>
      <c r="N9" s="3"/>
    </row>
    <row r="10" spans="1:19">
      <c r="C10" s="3"/>
      <c r="L10" s="3"/>
      <c r="N10" s="3"/>
    </row>
    <row r="11" spans="1:19">
      <c r="C11" s="3"/>
      <c r="L11" s="3"/>
      <c r="N11" s="3"/>
    </row>
    <row r="12" spans="1:19">
      <c r="C12" s="3"/>
      <c r="L12" s="3"/>
      <c r="N12" s="3"/>
    </row>
    <row r="13" spans="1:19">
      <c r="C13" s="3"/>
      <c r="L13" s="3"/>
      <c r="N13" s="3"/>
      <c r="S13" s="1"/>
    </row>
    <row r="14" spans="1:19">
      <c r="C14" s="3"/>
      <c r="L14" s="3"/>
      <c r="N14" s="3"/>
      <c r="S14" s="1"/>
    </row>
    <row r="15" spans="1:19">
      <c r="C15" s="3"/>
      <c r="L15" s="3"/>
      <c r="N15" s="3"/>
      <c r="S15" s="1"/>
    </row>
    <row r="16" spans="1:19">
      <c r="C16" s="3"/>
      <c r="L16" s="3"/>
      <c r="N16" s="3"/>
      <c r="S16" s="1"/>
    </row>
    <row r="17" spans="3:19">
      <c r="C17" s="3"/>
      <c r="L17" s="3"/>
      <c r="N17" s="3"/>
      <c r="S17" s="1"/>
    </row>
    <row r="18" spans="3:19">
      <c r="C18" s="3"/>
      <c r="L18" s="3"/>
      <c r="N18" s="3"/>
      <c r="S18" s="1"/>
    </row>
    <row r="19" spans="3:19">
      <c r="S19" s="1"/>
    </row>
    <row r="20" spans="3:19">
      <c r="S20" s="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Q201"/>
  <sheetViews>
    <sheetView topLeftCell="H1" workbookViewId="0">
      <selection activeCell="J2" sqref="J2"/>
    </sheetView>
  </sheetViews>
  <sheetFormatPr baseColWidth="10"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9" t="s">
        <v>18</v>
      </c>
      <c r="B1" s="9" t="s">
        <v>72</v>
      </c>
      <c r="C1" s="4" t="s">
        <v>73</v>
      </c>
      <c r="D1" s="4" t="s">
        <v>87</v>
      </c>
      <c r="E1" s="4" t="s">
        <v>74</v>
      </c>
      <c r="F1" s="4" t="s">
        <v>75</v>
      </c>
      <c r="G1" s="4" t="s">
        <v>76</v>
      </c>
      <c r="H1" s="6" t="s">
        <v>2757</v>
      </c>
      <c r="I1" s="6" t="s">
        <v>2758</v>
      </c>
      <c r="J1" s="6" t="s">
        <v>53</v>
      </c>
      <c r="K1" s="6" t="s">
        <v>52</v>
      </c>
      <c r="L1" s="4" t="s">
        <v>83</v>
      </c>
      <c r="M1" s="4" t="s">
        <v>84</v>
      </c>
      <c r="N1" s="4" t="s">
        <v>77</v>
      </c>
      <c r="O1" s="4" t="s">
        <v>78</v>
      </c>
      <c r="P1" s="4" t="s">
        <v>79</v>
      </c>
      <c r="Q1" s="4" t="s">
        <v>80</v>
      </c>
    </row>
    <row r="2" spans="1:17">
      <c r="A2" s="10" t="s">
        <v>24</v>
      </c>
      <c r="B2" t="s">
        <v>1363</v>
      </c>
      <c r="C2" t="str">
        <f>IF(Ticketsys!C2=CONCATENATE("long","-","haul"," ","flights"),"YES","NO")</f>
        <v>NO</v>
      </c>
      <c r="D2">
        <f>IF(B2=CONCATENATE("Airbus","A220"),135,(IF(B2=CONCATENATE("Airbus","A320"),150,325)))</f>
        <v>325</v>
      </c>
      <c r="E2">
        <f>D2*(20/100)</f>
        <v>65</v>
      </c>
      <c r="F2">
        <f>D2*(20/100)</f>
        <v>65</v>
      </c>
      <c r="G2">
        <f>D2*(60/100)</f>
        <v>195</v>
      </c>
      <c r="H2" s="2">
        <f>DATE(2015,1,1)</f>
        <v>42005</v>
      </c>
      <c r="I2" s="28">
        <v>0</v>
      </c>
      <c r="J2" s="8"/>
      <c r="K2" s="29">
        <f>Ticketsys!H2</f>
        <v>0.125</v>
      </c>
      <c r="L2" t="s">
        <v>37</v>
      </c>
      <c r="M2" t="s">
        <v>1563</v>
      </c>
      <c r="N2" s="1" t="str">
        <f>CONCATENATE("short","-","haul"," ","flights")</f>
        <v>short-haul flights</v>
      </c>
      <c r="O2" s="27">
        <v>0</v>
      </c>
      <c r="P2">
        <f ca="1">IF(I+P2:P932=0,"/"," ")</f>
        <v>0</v>
      </c>
      <c r="Q2">
        <f>Ticketsys!J2</f>
        <v>0</v>
      </c>
    </row>
    <row r="3" spans="1:17">
      <c r="A3" s="10" t="s">
        <v>25</v>
      </c>
      <c r="B3" t="s">
        <v>1364</v>
      </c>
      <c r="C3" t="str">
        <f>IF(Ticketsys!C3=CONCATENATE("long","-","haul"," ","flights"),"YES","NO")</f>
        <v>NO</v>
      </c>
      <c r="D3">
        <f t="shared" ref="D3:D66" si="0">IF(B3=CONCATENATE("Airbus","A220"),135,(IF(B3=CONCATENATE("Airbus","A320"),150,325)))</f>
        <v>325</v>
      </c>
      <c r="E3">
        <f t="shared" ref="E3:E66" si="1">D3*(20/100)</f>
        <v>65</v>
      </c>
      <c r="F3">
        <f t="shared" ref="F3:F66" si="2">D3*(20/100)</f>
        <v>65</v>
      </c>
      <c r="G3">
        <f t="shared" ref="G3:G66" si="3">D3*(60/100)</f>
        <v>195</v>
      </c>
      <c r="H3" s="2">
        <f>H2+20</f>
        <v>42025</v>
      </c>
      <c r="I3" s="26">
        <f>I2+"00:55:00"</f>
        <v>3.8194444444444441E-2</v>
      </c>
      <c r="J3" s="8"/>
      <c r="K3" s="29">
        <f>Ticketsys!H3</f>
        <v>0.16319444444444445</v>
      </c>
      <c r="L3" t="s">
        <v>37</v>
      </c>
      <c r="M3" t="s">
        <v>1564</v>
      </c>
      <c r="N3" s="1" t="str">
        <f t="shared" ref="N3:N61" si="4">CONCATENATE("short","-","haul"," ","flights")</f>
        <v>short-haul flights</v>
      </c>
      <c r="O3" s="27">
        <f>O2+"00:15:00"</f>
        <v>1.0416666666666666E-2</v>
      </c>
      <c r="P3" t="s">
        <v>1612</v>
      </c>
      <c r="Q3">
        <f>Ticketsys!J3</f>
        <v>0</v>
      </c>
    </row>
    <row r="4" spans="1:17">
      <c r="A4" s="10" t="s">
        <v>26</v>
      </c>
      <c r="B4" t="s">
        <v>1365</v>
      </c>
      <c r="C4" t="str">
        <f>IF(Ticketsys!C4=CONCATENATE("long","-","haul"," ","flights"),"YES","NO")</f>
        <v>NO</v>
      </c>
      <c r="D4">
        <f t="shared" si="0"/>
        <v>325</v>
      </c>
      <c r="E4">
        <f t="shared" si="1"/>
        <v>65</v>
      </c>
      <c r="F4">
        <f t="shared" si="2"/>
        <v>65</v>
      </c>
      <c r="G4">
        <f t="shared" si="3"/>
        <v>195</v>
      </c>
      <c r="H4" s="2">
        <f t="shared" ref="H4:H67" si="5">H3+20</f>
        <v>42045</v>
      </c>
      <c r="I4" s="26">
        <f t="shared" ref="I4:I67" si="6">I3+"00:55:00"</f>
        <v>7.6388888888888881E-2</v>
      </c>
      <c r="J4" s="8"/>
      <c r="K4" s="29">
        <f>Ticketsys!H4</f>
        <v>0.2013888888888889</v>
      </c>
      <c r="L4" t="s">
        <v>37</v>
      </c>
      <c r="M4" t="s">
        <v>1565</v>
      </c>
      <c r="N4" s="1" t="str">
        <f t="shared" si="4"/>
        <v>short-haul flights</v>
      </c>
      <c r="O4" s="27">
        <f t="shared" ref="O4:O67" si="7">O3+"00:15:00"</f>
        <v>2.0833333333333332E-2</v>
      </c>
      <c r="P4" t="s">
        <v>1613</v>
      </c>
      <c r="Q4">
        <f>Ticketsys!J4</f>
        <v>0</v>
      </c>
    </row>
    <row r="5" spans="1:17">
      <c r="A5" s="10" t="s">
        <v>27</v>
      </c>
      <c r="B5" t="s">
        <v>1366</v>
      </c>
      <c r="C5" t="str">
        <f>IF(Ticketsys!C5=CONCATENATE("long","-","haul"," ","flights"),"YES","NO")</f>
        <v>NO</v>
      </c>
      <c r="D5">
        <f t="shared" si="0"/>
        <v>325</v>
      </c>
      <c r="E5">
        <f t="shared" si="1"/>
        <v>65</v>
      </c>
      <c r="F5">
        <f t="shared" si="2"/>
        <v>65</v>
      </c>
      <c r="G5">
        <f t="shared" si="3"/>
        <v>195</v>
      </c>
      <c r="H5" s="2">
        <f t="shared" si="5"/>
        <v>42065</v>
      </c>
      <c r="I5" s="26">
        <f t="shared" si="6"/>
        <v>0.11458333333333331</v>
      </c>
      <c r="J5" s="8"/>
      <c r="K5" s="29">
        <f>Ticketsys!H5</f>
        <v>0.23958333333333331</v>
      </c>
      <c r="L5" t="s">
        <v>37</v>
      </c>
      <c r="M5" t="s">
        <v>1566</v>
      </c>
      <c r="N5" s="1" t="str">
        <f t="shared" si="4"/>
        <v>short-haul flights</v>
      </c>
      <c r="O5" s="27">
        <f t="shared" si="7"/>
        <v>3.125E-2</v>
      </c>
      <c r="P5" t="s">
        <v>1612</v>
      </c>
      <c r="Q5">
        <f>Ticketsys!J5</f>
        <v>0</v>
      </c>
    </row>
    <row r="6" spans="1:17">
      <c r="A6" s="10" t="s">
        <v>28</v>
      </c>
      <c r="B6" t="s">
        <v>1367</v>
      </c>
      <c r="C6" t="str">
        <f>IF(Ticketsys!C6=CONCATENATE("long","-","haul"," ","flights"),"YES","NO")</f>
        <v>NO</v>
      </c>
      <c r="D6">
        <f t="shared" si="0"/>
        <v>325</v>
      </c>
      <c r="E6">
        <f t="shared" si="1"/>
        <v>65</v>
      </c>
      <c r="F6">
        <f t="shared" si="2"/>
        <v>65</v>
      </c>
      <c r="G6">
        <f t="shared" si="3"/>
        <v>195</v>
      </c>
      <c r="H6" s="2">
        <f t="shared" si="5"/>
        <v>42085</v>
      </c>
      <c r="I6" s="26">
        <f t="shared" si="6"/>
        <v>0.15277777777777776</v>
      </c>
      <c r="J6" s="8"/>
      <c r="K6" s="29">
        <f>Ticketsys!H6</f>
        <v>0.27777777777777779</v>
      </c>
      <c r="L6" t="s">
        <v>37</v>
      </c>
      <c r="M6" t="s">
        <v>1567</v>
      </c>
      <c r="N6" s="1" t="str">
        <f t="shared" si="4"/>
        <v>short-haul flights</v>
      </c>
      <c r="O6" s="27">
        <f t="shared" si="7"/>
        <v>4.1666666666666664E-2</v>
      </c>
      <c r="P6" t="s">
        <v>1614</v>
      </c>
      <c r="Q6">
        <f>Ticketsys!J6</f>
        <v>0</v>
      </c>
    </row>
    <row r="7" spans="1:17">
      <c r="A7" s="10" t="s">
        <v>29</v>
      </c>
      <c r="B7" t="s">
        <v>1368</v>
      </c>
      <c r="C7" t="str">
        <f>IF(Ticketsys!C7=CONCATENATE("long","-","haul"," ","flights"),"YES","NO")</f>
        <v>NO</v>
      </c>
      <c r="D7">
        <f t="shared" si="0"/>
        <v>325</v>
      </c>
      <c r="E7">
        <f t="shared" si="1"/>
        <v>65</v>
      </c>
      <c r="F7">
        <f t="shared" si="2"/>
        <v>65</v>
      </c>
      <c r="G7">
        <f t="shared" si="3"/>
        <v>195</v>
      </c>
      <c r="H7" s="2">
        <f t="shared" si="5"/>
        <v>42105</v>
      </c>
      <c r="I7" s="26">
        <f t="shared" si="6"/>
        <v>0.19097222222222221</v>
      </c>
      <c r="J7" s="8"/>
      <c r="K7" s="29">
        <f>Ticketsys!H7</f>
        <v>0.31597222222222221</v>
      </c>
      <c r="L7" t="s">
        <v>37</v>
      </c>
      <c r="M7" t="s">
        <v>1568</v>
      </c>
      <c r="N7" s="1" t="str">
        <f t="shared" si="4"/>
        <v>short-haul flights</v>
      </c>
      <c r="O7" s="27">
        <f t="shared" si="7"/>
        <v>5.2083333333333329E-2</v>
      </c>
      <c r="P7" t="s">
        <v>1614</v>
      </c>
      <c r="Q7">
        <f>Ticketsys!J7</f>
        <v>0</v>
      </c>
    </row>
    <row r="8" spans="1:17">
      <c r="A8" s="10" t="s">
        <v>30</v>
      </c>
      <c r="B8" t="s">
        <v>1369</v>
      </c>
      <c r="C8" t="str">
        <f>IF(Ticketsys!C8=CONCATENATE("long","-","haul"," ","flights"),"YES","NO")</f>
        <v>NO</v>
      </c>
      <c r="D8">
        <f t="shared" si="0"/>
        <v>325</v>
      </c>
      <c r="E8">
        <f t="shared" si="1"/>
        <v>65</v>
      </c>
      <c r="F8">
        <f t="shared" si="2"/>
        <v>65</v>
      </c>
      <c r="G8">
        <f t="shared" si="3"/>
        <v>195</v>
      </c>
      <c r="H8" s="2">
        <f t="shared" si="5"/>
        <v>42125</v>
      </c>
      <c r="I8" s="26">
        <f t="shared" si="6"/>
        <v>0.22916666666666666</v>
      </c>
      <c r="J8" s="8"/>
      <c r="K8" s="29">
        <f>Ticketsys!H8</f>
        <v>0.35416666666666663</v>
      </c>
      <c r="L8" t="s">
        <v>37</v>
      </c>
      <c r="M8" t="s">
        <v>1569</v>
      </c>
      <c r="N8" s="1" t="str">
        <f t="shared" si="4"/>
        <v>short-haul flights</v>
      </c>
      <c r="O8" s="27">
        <f t="shared" si="7"/>
        <v>6.2499999999999993E-2</v>
      </c>
      <c r="P8" t="s">
        <v>1614</v>
      </c>
      <c r="Q8">
        <f>Ticketsys!J8</f>
        <v>0</v>
      </c>
    </row>
    <row r="9" spans="1:17">
      <c r="A9" s="10" t="s">
        <v>31</v>
      </c>
      <c r="B9" t="s">
        <v>1370</v>
      </c>
      <c r="C9" t="str">
        <f>IF(Ticketsys!C9=CONCATENATE("long","-","haul"," ","flights"),"YES","NO")</f>
        <v>NO</v>
      </c>
      <c r="D9">
        <f t="shared" si="0"/>
        <v>325</v>
      </c>
      <c r="E9">
        <f t="shared" si="1"/>
        <v>65</v>
      </c>
      <c r="F9">
        <f t="shared" si="2"/>
        <v>65</v>
      </c>
      <c r="G9">
        <f t="shared" si="3"/>
        <v>195</v>
      </c>
      <c r="H9" s="2">
        <f t="shared" si="5"/>
        <v>42145</v>
      </c>
      <c r="I9" s="26">
        <f t="shared" si="6"/>
        <v>0.2673611111111111</v>
      </c>
      <c r="J9" s="8"/>
      <c r="K9" s="29">
        <f>Ticketsys!H9</f>
        <v>0.3923611111111111</v>
      </c>
      <c r="L9" t="s">
        <v>37</v>
      </c>
      <c r="M9" t="s">
        <v>1570</v>
      </c>
      <c r="N9" s="1" t="str">
        <f t="shared" si="4"/>
        <v>short-haul flights</v>
      </c>
      <c r="O9" s="27">
        <f t="shared" si="7"/>
        <v>7.2916666666666657E-2</v>
      </c>
      <c r="P9" t="s">
        <v>1614</v>
      </c>
      <c r="Q9">
        <f>Ticketsys!J9</f>
        <v>0</v>
      </c>
    </row>
    <row r="10" spans="1:17">
      <c r="A10" s="10" t="s">
        <v>32</v>
      </c>
      <c r="B10" t="s">
        <v>1371</v>
      </c>
      <c r="C10" t="str">
        <f>IF(Ticketsys!C10=CONCATENATE("long","-","haul"," ","flights"),"YES","NO")</f>
        <v>NO</v>
      </c>
      <c r="D10">
        <f t="shared" si="0"/>
        <v>325</v>
      </c>
      <c r="E10">
        <f t="shared" si="1"/>
        <v>65</v>
      </c>
      <c r="F10">
        <f t="shared" si="2"/>
        <v>65</v>
      </c>
      <c r="G10">
        <f t="shared" si="3"/>
        <v>195</v>
      </c>
      <c r="H10" s="2">
        <f t="shared" si="5"/>
        <v>42165</v>
      </c>
      <c r="I10" s="26">
        <f t="shared" si="6"/>
        <v>0.30555555555555552</v>
      </c>
      <c r="J10" s="8"/>
      <c r="K10" s="29">
        <f>Ticketsys!H10</f>
        <v>0.43055555555555552</v>
      </c>
      <c r="L10" t="s">
        <v>37</v>
      </c>
      <c r="M10" t="s">
        <v>1571</v>
      </c>
      <c r="N10" s="1" t="str">
        <f t="shared" si="4"/>
        <v>short-haul flights</v>
      </c>
      <c r="O10" s="27">
        <f t="shared" si="7"/>
        <v>8.3333333333333329E-2</v>
      </c>
      <c r="P10" t="s">
        <v>1614</v>
      </c>
      <c r="Q10">
        <f>Ticketsys!J10</f>
        <v>0</v>
      </c>
    </row>
    <row r="11" spans="1:17">
      <c r="A11" s="10" t="s">
        <v>33</v>
      </c>
      <c r="B11" t="s">
        <v>1372</v>
      </c>
      <c r="C11" t="str">
        <f>IF(Ticketsys!C11=CONCATENATE("long","-","haul"," ","flights"),"YES","NO")</f>
        <v>NO</v>
      </c>
      <c r="D11">
        <f t="shared" si="0"/>
        <v>325</v>
      </c>
      <c r="E11">
        <f t="shared" si="1"/>
        <v>65</v>
      </c>
      <c r="F11">
        <f t="shared" si="2"/>
        <v>65</v>
      </c>
      <c r="G11">
        <f t="shared" si="3"/>
        <v>195</v>
      </c>
      <c r="H11" s="2">
        <f t="shared" si="5"/>
        <v>42185</v>
      </c>
      <c r="I11" s="26">
        <f t="shared" si="6"/>
        <v>0.34374999999999994</v>
      </c>
      <c r="J11" s="8"/>
      <c r="K11" s="29">
        <f>Ticketsys!H11</f>
        <v>0.46874999999999994</v>
      </c>
      <c r="L11" t="s">
        <v>37</v>
      </c>
      <c r="M11" t="s">
        <v>1572</v>
      </c>
      <c r="N11" s="1" t="str">
        <f t="shared" si="4"/>
        <v>short-haul flights</v>
      </c>
      <c r="O11" s="27">
        <f t="shared" si="7"/>
        <v>9.375E-2</v>
      </c>
      <c r="P11" t="s">
        <v>1612</v>
      </c>
      <c r="Q11">
        <f>Ticketsys!J11</f>
        <v>0</v>
      </c>
    </row>
    <row r="12" spans="1:17">
      <c r="A12" s="10" t="s">
        <v>24</v>
      </c>
      <c r="B12" t="s">
        <v>1373</v>
      </c>
      <c r="C12" t="str">
        <f>IF(Ticketsys!C12=CONCATENATE("long","-","haul"," ","flights"),"YES","NO")</f>
        <v>NO</v>
      </c>
      <c r="D12">
        <f t="shared" si="0"/>
        <v>325</v>
      </c>
      <c r="E12">
        <f t="shared" si="1"/>
        <v>65</v>
      </c>
      <c r="F12">
        <f t="shared" si="2"/>
        <v>65</v>
      </c>
      <c r="G12">
        <f t="shared" si="3"/>
        <v>195</v>
      </c>
      <c r="H12" s="2">
        <f t="shared" si="5"/>
        <v>42205</v>
      </c>
      <c r="I12" s="26">
        <f t="shared" si="6"/>
        <v>0.38194444444444436</v>
      </c>
      <c r="K12" s="29">
        <f>Ticketsys!H12</f>
        <v>0.50694444444444442</v>
      </c>
      <c r="L12" t="s">
        <v>37</v>
      </c>
      <c r="M12" t="s">
        <v>1573</v>
      </c>
      <c r="N12" s="1" t="str">
        <f t="shared" si="4"/>
        <v>short-haul flights</v>
      </c>
      <c r="O12" s="27">
        <f t="shared" si="7"/>
        <v>0.10416666666666667</v>
      </c>
      <c r="P12" t="s">
        <v>1614</v>
      </c>
      <c r="Q12">
        <f>Ticketsys!J12</f>
        <v>0</v>
      </c>
    </row>
    <row r="13" spans="1:17">
      <c r="A13" s="10" t="s">
        <v>25</v>
      </c>
      <c r="B13" t="s">
        <v>1374</v>
      </c>
      <c r="C13" t="str">
        <f>IF(Ticketsys!C13=CONCATENATE("long","-","haul"," ","flights"),"YES","NO")</f>
        <v>NO</v>
      </c>
      <c r="D13">
        <f t="shared" si="0"/>
        <v>325</v>
      </c>
      <c r="E13">
        <f t="shared" si="1"/>
        <v>65</v>
      </c>
      <c r="F13">
        <f t="shared" si="2"/>
        <v>65</v>
      </c>
      <c r="G13">
        <f t="shared" si="3"/>
        <v>195</v>
      </c>
      <c r="H13" s="2">
        <f t="shared" si="5"/>
        <v>42225</v>
      </c>
      <c r="I13" s="26">
        <f t="shared" si="6"/>
        <v>0.42013888888888878</v>
      </c>
      <c r="K13" s="29">
        <f>Ticketsys!H13</f>
        <v>0.54513888888888884</v>
      </c>
      <c r="L13" t="s">
        <v>37</v>
      </c>
      <c r="M13" t="s">
        <v>1574</v>
      </c>
      <c r="N13" s="1" t="str">
        <f t="shared" si="4"/>
        <v>short-haul flights</v>
      </c>
      <c r="O13" s="27">
        <f t="shared" si="7"/>
        <v>0.11458333333333334</v>
      </c>
      <c r="P13" t="s">
        <v>1612</v>
      </c>
      <c r="Q13">
        <f>Ticketsys!J13</f>
        <v>0</v>
      </c>
    </row>
    <row r="14" spans="1:17">
      <c r="A14" s="10" t="s">
        <v>26</v>
      </c>
      <c r="B14" t="s">
        <v>1375</v>
      </c>
      <c r="C14" t="str">
        <f>IF(Ticketsys!C14=CONCATENATE("long","-","haul"," ","flights"),"YES","NO")</f>
        <v>NO</v>
      </c>
      <c r="D14">
        <f t="shared" si="0"/>
        <v>325</v>
      </c>
      <c r="E14">
        <f t="shared" si="1"/>
        <v>65</v>
      </c>
      <c r="F14">
        <f t="shared" si="2"/>
        <v>65</v>
      </c>
      <c r="G14">
        <f t="shared" si="3"/>
        <v>195</v>
      </c>
      <c r="H14" s="2">
        <f t="shared" si="5"/>
        <v>42245</v>
      </c>
      <c r="I14" s="26">
        <f t="shared" si="6"/>
        <v>0.4583333333333332</v>
      </c>
      <c r="K14" s="29">
        <f>Ticketsys!H14</f>
        <v>0.58333333333333326</v>
      </c>
      <c r="L14" t="s">
        <v>37</v>
      </c>
      <c r="M14" t="s">
        <v>1575</v>
      </c>
      <c r="N14" s="1" t="str">
        <f t="shared" si="4"/>
        <v>short-haul flights</v>
      </c>
      <c r="O14" s="27">
        <f t="shared" si="7"/>
        <v>0.125</v>
      </c>
      <c r="P14" t="s">
        <v>1612</v>
      </c>
      <c r="Q14">
        <f>Ticketsys!J14</f>
        <v>0</v>
      </c>
    </row>
    <row r="15" spans="1:17">
      <c r="A15" s="10" t="s">
        <v>27</v>
      </c>
      <c r="B15" t="s">
        <v>1376</v>
      </c>
      <c r="C15" t="str">
        <f>IF(Ticketsys!C15=CONCATENATE("long","-","haul"," ","flights"),"YES","NO")</f>
        <v>NO</v>
      </c>
      <c r="D15">
        <f t="shared" si="0"/>
        <v>325</v>
      </c>
      <c r="E15">
        <f t="shared" si="1"/>
        <v>65</v>
      </c>
      <c r="F15">
        <f t="shared" si="2"/>
        <v>65</v>
      </c>
      <c r="G15">
        <f t="shared" si="3"/>
        <v>195</v>
      </c>
      <c r="H15" s="2">
        <f t="shared" si="5"/>
        <v>42265</v>
      </c>
      <c r="I15" s="26">
        <f t="shared" si="6"/>
        <v>0.49652777777777762</v>
      </c>
      <c r="K15" s="29">
        <f>Ticketsys!H15</f>
        <v>0.62152777777777768</v>
      </c>
      <c r="L15" t="s">
        <v>37</v>
      </c>
      <c r="M15" t="s">
        <v>1576</v>
      </c>
      <c r="N15" s="1" t="str">
        <f t="shared" si="4"/>
        <v>short-haul flights</v>
      </c>
      <c r="O15" s="27">
        <f t="shared" si="7"/>
        <v>0.13541666666666666</v>
      </c>
      <c r="P15" t="s">
        <v>1614</v>
      </c>
      <c r="Q15">
        <f>Ticketsys!J15</f>
        <v>0</v>
      </c>
    </row>
    <row r="16" spans="1:17">
      <c r="A16" s="10" t="s">
        <v>28</v>
      </c>
      <c r="B16" t="s">
        <v>1377</v>
      </c>
      <c r="C16" t="str">
        <f>IF(Ticketsys!C16=CONCATENATE("long","-","haul"," ","flights"),"YES","NO")</f>
        <v>NO</v>
      </c>
      <c r="D16">
        <f t="shared" si="0"/>
        <v>325</v>
      </c>
      <c r="E16">
        <f t="shared" si="1"/>
        <v>65</v>
      </c>
      <c r="F16">
        <f t="shared" si="2"/>
        <v>65</v>
      </c>
      <c r="G16">
        <f t="shared" si="3"/>
        <v>195</v>
      </c>
      <c r="H16" s="2">
        <f t="shared" si="5"/>
        <v>42285</v>
      </c>
      <c r="I16" s="26">
        <f t="shared" si="6"/>
        <v>0.5347222222222221</v>
      </c>
      <c r="K16" s="29">
        <f>Ticketsys!H16</f>
        <v>0.6597222222222221</v>
      </c>
      <c r="L16" t="s">
        <v>37</v>
      </c>
      <c r="M16" t="s">
        <v>1577</v>
      </c>
      <c r="N16" s="1" t="str">
        <f t="shared" si="4"/>
        <v>short-haul flights</v>
      </c>
      <c r="O16" s="27">
        <f t="shared" si="7"/>
        <v>0.14583333333333331</v>
      </c>
      <c r="P16" t="s">
        <v>1614</v>
      </c>
      <c r="Q16">
        <f>Ticketsys!J16</f>
        <v>0</v>
      </c>
    </row>
    <row r="17" spans="1:17">
      <c r="A17" s="10" t="s">
        <v>29</v>
      </c>
      <c r="B17" t="s">
        <v>1378</v>
      </c>
      <c r="C17" t="str">
        <f>IF(Ticketsys!C17=CONCATENATE("long","-","haul"," ","flights"),"YES","NO")</f>
        <v>NO</v>
      </c>
      <c r="D17">
        <f t="shared" si="0"/>
        <v>325</v>
      </c>
      <c r="E17">
        <f t="shared" si="1"/>
        <v>65</v>
      </c>
      <c r="F17">
        <f t="shared" si="2"/>
        <v>65</v>
      </c>
      <c r="G17">
        <f t="shared" si="3"/>
        <v>195</v>
      </c>
      <c r="H17" s="2">
        <f t="shared" si="5"/>
        <v>42305</v>
      </c>
      <c r="I17" s="26">
        <f t="shared" si="6"/>
        <v>0.57291666666666652</v>
      </c>
      <c r="K17" s="29">
        <f>Ticketsys!H17</f>
        <v>0.69791666666666652</v>
      </c>
      <c r="L17" t="s">
        <v>37</v>
      </c>
      <c r="M17" t="s">
        <v>37</v>
      </c>
      <c r="N17" s="1" t="str">
        <f t="shared" si="4"/>
        <v>short-haul flights</v>
      </c>
      <c r="O17" s="27">
        <f t="shared" si="7"/>
        <v>0.15624999999999997</v>
      </c>
      <c r="P17" t="s">
        <v>1614</v>
      </c>
      <c r="Q17">
        <f>Ticketsys!J17</f>
        <v>0</v>
      </c>
    </row>
    <row r="18" spans="1:17">
      <c r="A18" s="10" t="s">
        <v>30</v>
      </c>
      <c r="B18" t="s">
        <v>1379</v>
      </c>
      <c r="C18" t="str">
        <f>IF(Ticketsys!C18=CONCATENATE("long","-","haul"," ","flights"),"YES","NO")</f>
        <v>NO</v>
      </c>
      <c r="D18">
        <f t="shared" si="0"/>
        <v>325</v>
      </c>
      <c r="E18">
        <f t="shared" si="1"/>
        <v>65</v>
      </c>
      <c r="F18">
        <f t="shared" si="2"/>
        <v>65</v>
      </c>
      <c r="G18">
        <f t="shared" si="3"/>
        <v>195</v>
      </c>
      <c r="H18" s="2">
        <f t="shared" si="5"/>
        <v>42325</v>
      </c>
      <c r="I18" s="26">
        <f t="shared" si="6"/>
        <v>0.61111111111111094</v>
      </c>
      <c r="K18" s="29">
        <f>Ticketsys!H18</f>
        <v>0.73611111111111094</v>
      </c>
      <c r="L18" t="s">
        <v>37</v>
      </c>
      <c r="M18" t="s">
        <v>1578</v>
      </c>
      <c r="N18" s="1" t="str">
        <f t="shared" si="4"/>
        <v>short-haul flights</v>
      </c>
      <c r="O18" s="27">
        <f t="shared" si="7"/>
        <v>0.16666666666666663</v>
      </c>
      <c r="P18" t="s">
        <v>1613</v>
      </c>
      <c r="Q18">
        <f>Ticketsys!J18</f>
        <v>0</v>
      </c>
    </row>
    <row r="19" spans="1:17">
      <c r="A19" s="10" t="s">
        <v>31</v>
      </c>
      <c r="B19" t="s">
        <v>1380</v>
      </c>
      <c r="C19" t="str">
        <f>IF(Ticketsys!C19=CONCATENATE("long","-","haul"," ","flights"),"YES","NO")</f>
        <v>NO</v>
      </c>
      <c r="D19">
        <f t="shared" si="0"/>
        <v>325</v>
      </c>
      <c r="E19">
        <f t="shared" si="1"/>
        <v>65</v>
      </c>
      <c r="F19">
        <f t="shared" si="2"/>
        <v>65</v>
      </c>
      <c r="G19">
        <f t="shared" si="3"/>
        <v>195</v>
      </c>
      <c r="H19" s="2">
        <f t="shared" si="5"/>
        <v>42345</v>
      </c>
      <c r="I19" s="26">
        <f t="shared" si="6"/>
        <v>0.64930555555555536</v>
      </c>
      <c r="K19" s="29">
        <f>Ticketsys!H19</f>
        <v>0.77430555555555536</v>
      </c>
      <c r="L19" t="s">
        <v>37</v>
      </c>
      <c r="M19" t="s">
        <v>1579</v>
      </c>
      <c r="N19" s="1" t="str">
        <f t="shared" si="4"/>
        <v>short-haul flights</v>
      </c>
      <c r="O19" s="27">
        <f t="shared" si="7"/>
        <v>0.17708333333333329</v>
      </c>
      <c r="P19" t="s">
        <v>1612</v>
      </c>
      <c r="Q19">
        <f>Ticketsys!J19</f>
        <v>0</v>
      </c>
    </row>
    <row r="20" spans="1:17">
      <c r="A20" s="10" t="s">
        <v>32</v>
      </c>
      <c r="B20" t="s">
        <v>1381</v>
      </c>
      <c r="C20" t="str">
        <f>IF(Ticketsys!C20=CONCATENATE("long","-","haul"," ","flights"),"YES","NO")</f>
        <v>NO</v>
      </c>
      <c r="D20">
        <f t="shared" si="0"/>
        <v>325</v>
      </c>
      <c r="E20">
        <f t="shared" si="1"/>
        <v>65</v>
      </c>
      <c r="F20">
        <f t="shared" si="2"/>
        <v>65</v>
      </c>
      <c r="G20">
        <f t="shared" si="3"/>
        <v>195</v>
      </c>
      <c r="H20" s="2">
        <f t="shared" si="5"/>
        <v>42365</v>
      </c>
      <c r="I20" s="26">
        <f t="shared" si="6"/>
        <v>0.68749999999999978</v>
      </c>
      <c r="K20" s="29">
        <f>Ticketsys!H20</f>
        <v>0.81249999999999978</v>
      </c>
      <c r="L20" t="s">
        <v>37</v>
      </c>
      <c r="M20" t="s">
        <v>1580</v>
      </c>
      <c r="N20" s="1" t="str">
        <f t="shared" si="4"/>
        <v>short-haul flights</v>
      </c>
      <c r="O20" s="27">
        <f t="shared" si="7"/>
        <v>0.18749999999999994</v>
      </c>
      <c r="P20" t="s">
        <v>1613</v>
      </c>
      <c r="Q20">
        <f>Ticketsys!J20</f>
        <v>0</v>
      </c>
    </row>
    <row r="21" spans="1:17">
      <c r="A21" s="10" t="s">
        <v>33</v>
      </c>
      <c r="B21" t="s">
        <v>1382</v>
      </c>
      <c r="C21" t="str">
        <f>IF(Ticketsys!C21=CONCATENATE("long","-","haul"," ","flights"),"YES","NO")</f>
        <v>NO</v>
      </c>
      <c r="D21">
        <f t="shared" si="0"/>
        <v>325</v>
      </c>
      <c r="E21">
        <f t="shared" si="1"/>
        <v>65</v>
      </c>
      <c r="F21">
        <f t="shared" si="2"/>
        <v>65</v>
      </c>
      <c r="G21">
        <f t="shared" si="3"/>
        <v>195</v>
      </c>
      <c r="H21" s="2">
        <f t="shared" si="5"/>
        <v>42385</v>
      </c>
      <c r="I21" s="26">
        <f t="shared" si="6"/>
        <v>0.7256944444444442</v>
      </c>
      <c r="K21" s="29">
        <f>Ticketsys!H21</f>
        <v>0.8506944444444442</v>
      </c>
      <c r="L21" t="s">
        <v>37</v>
      </c>
      <c r="M21" t="s">
        <v>1581</v>
      </c>
      <c r="N21" s="1" t="str">
        <f t="shared" si="4"/>
        <v>short-haul flights</v>
      </c>
      <c r="O21" s="27">
        <f t="shared" si="7"/>
        <v>0.1979166666666666</v>
      </c>
      <c r="P21" t="s">
        <v>1612</v>
      </c>
      <c r="Q21">
        <f>Ticketsys!J21</f>
        <v>0</v>
      </c>
    </row>
    <row r="22" spans="1:17">
      <c r="A22" s="10" t="s">
        <v>24</v>
      </c>
      <c r="B22" t="s">
        <v>1383</v>
      </c>
      <c r="C22" t="str">
        <f>IF(Ticketsys!C22=CONCATENATE("long","-","haul"," ","flights"),"YES","NO")</f>
        <v>NO</v>
      </c>
      <c r="D22">
        <f t="shared" si="0"/>
        <v>325</v>
      </c>
      <c r="E22">
        <f t="shared" si="1"/>
        <v>65</v>
      </c>
      <c r="F22">
        <f t="shared" si="2"/>
        <v>65</v>
      </c>
      <c r="G22">
        <f t="shared" si="3"/>
        <v>195</v>
      </c>
      <c r="H22" s="2">
        <f t="shared" si="5"/>
        <v>42405</v>
      </c>
      <c r="I22" s="26">
        <f t="shared" si="6"/>
        <v>0.76388888888888862</v>
      </c>
      <c r="K22" s="29">
        <f>Ticketsys!H22</f>
        <v>0.88888888888888862</v>
      </c>
      <c r="L22" t="s">
        <v>37</v>
      </c>
      <c r="M22" t="s">
        <v>1582</v>
      </c>
      <c r="N22" s="1" t="str">
        <f t="shared" si="4"/>
        <v>short-haul flights</v>
      </c>
      <c r="O22" s="27">
        <f t="shared" si="7"/>
        <v>0.20833333333333326</v>
      </c>
      <c r="P22" t="s">
        <v>1614</v>
      </c>
      <c r="Q22">
        <f>Ticketsys!J22</f>
        <v>0</v>
      </c>
    </row>
    <row r="23" spans="1:17">
      <c r="A23" s="10" t="s">
        <v>25</v>
      </c>
      <c r="B23" t="s">
        <v>1384</v>
      </c>
      <c r="C23" t="str">
        <f>IF(Ticketsys!C23=CONCATENATE("long","-","haul"," ","flights"),"YES","NO")</f>
        <v>NO</v>
      </c>
      <c r="D23">
        <f t="shared" si="0"/>
        <v>325</v>
      </c>
      <c r="E23">
        <f t="shared" si="1"/>
        <v>65</v>
      </c>
      <c r="F23">
        <f t="shared" si="2"/>
        <v>65</v>
      </c>
      <c r="G23">
        <f t="shared" si="3"/>
        <v>195</v>
      </c>
      <c r="H23" s="2">
        <f t="shared" si="5"/>
        <v>42425</v>
      </c>
      <c r="I23" s="26">
        <f t="shared" si="6"/>
        <v>0.80208333333333304</v>
      </c>
      <c r="K23" s="29">
        <f>Ticketsys!H23</f>
        <v>0.92708333333333304</v>
      </c>
      <c r="L23" t="s">
        <v>37</v>
      </c>
      <c r="M23" t="s">
        <v>1583</v>
      </c>
      <c r="N23" s="1" t="str">
        <f t="shared" si="4"/>
        <v>short-haul flights</v>
      </c>
      <c r="O23" s="27">
        <f t="shared" si="7"/>
        <v>0.21874999999999992</v>
      </c>
      <c r="P23" t="s">
        <v>1614</v>
      </c>
      <c r="Q23">
        <f>Ticketsys!J23</f>
        <v>0</v>
      </c>
    </row>
    <row r="24" spans="1:17">
      <c r="A24" s="10" t="s">
        <v>26</v>
      </c>
      <c r="B24" t="s">
        <v>1385</v>
      </c>
      <c r="C24" t="str">
        <f>IF(Ticketsys!C24=CONCATENATE("long","-","haul"," ","flights"),"YES","NO")</f>
        <v>NO</v>
      </c>
      <c r="D24">
        <f t="shared" si="0"/>
        <v>325</v>
      </c>
      <c r="E24">
        <f t="shared" si="1"/>
        <v>65</v>
      </c>
      <c r="F24">
        <f t="shared" si="2"/>
        <v>65</v>
      </c>
      <c r="G24">
        <f t="shared" si="3"/>
        <v>195</v>
      </c>
      <c r="H24" s="2">
        <f t="shared" si="5"/>
        <v>42445</v>
      </c>
      <c r="I24" s="26">
        <f t="shared" si="6"/>
        <v>0.84027777777777746</v>
      </c>
      <c r="K24" s="29">
        <f>Ticketsys!H24</f>
        <v>0.96527777777777746</v>
      </c>
      <c r="L24" t="s">
        <v>37</v>
      </c>
      <c r="M24" t="s">
        <v>1584</v>
      </c>
      <c r="N24" s="1" t="str">
        <f t="shared" si="4"/>
        <v>short-haul flights</v>
      </c>
      <c r="O24" s="27">
        <f t="shared" si="7"/>
        <v>0.22916666666666657</v>
      </c>
      <c r="P24" t="s">
        <v>1614</v>
      </c>
      <c r="Q24">
        <f>Ticketsys!J24</f>
        <v>0</v>
      </c>
    </row>
    <row r="25" spans="1:17">
      <c r="A25" s="10" t="s">
        <v>27</v>
      </c>
      <c r="B25" t="s">
        <v>1386</v>
      </c>
      <c r="C25" t="str">
        <f>IF(Ticketsys!C25=CONCATENATE("long","-","haul"," ","flights"),"YES","NO")</f>
        <v>NO</v>
      </c>
      <c r="D25">
        <f t="shared" si="0"/>
        <v>325</v>
      </c>
      <c r="E25">
        <f t="shared" si="1"/>
        <v>65</v>
      </c>
      <c r="F25">
        <f t="shared" si="2"/>
        <v>65</v>
      </c>
      <c r="G25">
        <f t="shared" si="3"/>
        <v>195</v>
      </c>
      <c r="H25" s="2">
        <f t="shared" si="5"/>
        <v>42465</v>
      </c>
      <c r="I25" s="26">
        <f t="shared" si="6"/>
        <v>0.87847222222222188</v>
      </c>
      <c r="K25" s="29">
        <f>Ticketsys!H25</f>
        <v>1.0034722222222219</v>
      </c>
      <c r="L25" t="s">
        <v>37</v>
      </c>
      <c r="M25" t="s">
        <v>1585</v>
      </c>
      <c r="N25" s="1" t="str">
        <f t="shared" si="4"/>
        <v>short-haul flights</v>
      </c>
      <c r="O25" s="27">
        <f t="shared" si="7"/>
        <v>0.23958333333333323</v>
      </c>
      <c r="P25" t="s">
        <v>1614</v>
      </c>
      <c r="Q25">
        <f>Ticketsys!J25</f>
        <v>0</v>
      </c>
    </row>
    <row r="26" spans="1:17">
      <c r="A26" s="10" t="s">
        <v>28</v>
      </c>
      <c r="B26" t="s">
        <v>1387</v>
      </c>
      <c r="C26" t="str">
        <f>IF(Ticketsys!C26=CONCATENATE("long","-","haul"," ","flights"),"YES","NO")</f>
        <v>NO</v>
      </c>
      <c r="D26">
        <f t="shared" si="0"/>
        <v>325</v>
      </c>
      <c r="E26">
        <f t="shared" si="1"/>
        <v>65</v>
      </c>
      <c r="F26">
        <f t="shared" si="2"/>
        <v>65</v>
      </c>
      <c r="G26">
        <f t="shared" si="3"/>
        <v>195</v>
      </c>
      <c r="H26" s="2">
        <f t="shared" si="5"/>
        <v>42485</v>
      </c>
      <c r="I26" s="26">
        <f t="shared" si="6"/>
        <v>0.9166666666666663</v>
      </c>
      <c r="K26" s="29">
        <f>Ticketsys!H26</f>
        <v>1.0416666666666663</v>
      </c>
      <c r="L26" t="s">
        <v>37</v>
      </c>
      <c r="M26" t="s">
        <v>1586</v>
      </c>
      <c r="N26" s="1" t="str">
        <f t="shared" si="4"/>
        <v>short-haul flights</v>
      </c>
      <c r="O26" s="27">
        <f t="shared" si="7"/>
        <v>0.24999999999999989</v>
      </c>
      <c r="P26" t="s">
        <v>1614</v>
      </c>
      <c r="Q26">
        <f>Ticketsys!J26</f>
        <v>0</v>
      </c>
    </row>
    <row r="27" spans="1:17">
      <c r="A27" s="10" t="s">
        <v>29</v>
      </c>
      <c r="B27" t="s">
        <v>1388</v>
      </c>
      <c r="C27" t="str">
        <f>IF(Ticketsys!C27=CONCATENATE("long","-","haul"," ","flights"),"YES","NO")</f>
        <v>NO</v>
      </c>
      <c r="D27">
        <f t="shared" si="0"/>
        <v>325</v>
      </c>
      <c r="E27">
        <f t="shared" si="1"/>
        <v>65</v>
      </c>
      <c r="F27">
        <f t="shared" si="2"/>
        <v>65</v>
      </c>
      <c r="G27">
        <f t="shared" si="3"/>
        <v>195</v>
      </c>
      <c r="H27" s="2">
        <f t="shared" si="5"/>
        <v>42505</v>
      </c>
      <c r="I27" s="26">
        <f t="shared" si="6"/>
        <v>0.95486111111111072</v>
      </c>
      <c r="K27" s="29">
        <f>Ticketsys!H27</f>
        <v>1.0798611111111107</v>
      </c>
      <c r="L27" t="s">
        <v>37</v>
      </c>
      <c r="M27" t="s">
        <v>1587</v>
      </c>
      <c r="N27" s="1" t="str">
        <f t="shared" si="4"/>
        <v>short-haul flights</v>
      </c>
      <c r="O27" s="27">
        <f t="shared" si="7"/>
        <v>0.26041666666666657</v>
      </c>
      <c r="P27" t="s">
        <v>1612</v>
      </c>
      <c r="Q27">
        <f>Ticketsys!J27</f>
        <v>0</v>
      </c>
    </row>
    <row r="28" spans="1:17">
      <c r="A28" s="10" t="s">
        <v>30</v>
      </c>
      <c r="B28" t="s">
        <v>1389</v>
      </c>
      <c r="C28" t="str">
        <f>IF(Ticketsys!C28=CONCATENATE("long","-","haul"," ","flights"),"YES","NO")</f>
        <v>NO</v>
      </c>
      <c r="D28">
        <f t="shared" si="0"/>
        <v>325</v>
      </c>
      <c r="E28">
        <f t="shared" si="1"/>
        <v>65</v>
      </c>
      <c r="F28">
        <f t="shared" si="2"/>
        <v>65</v>
      </c>
      <c r="G28">
        <f t="shared" si="3"/>
        <v>195</v>
      </c>
      <c r="H28" s="2">
        <f t="shared" si="5"/>
        <v>42525</v>
      </c>
      <c r="I28" s="26">
        <f t="shared" si="6"/>
        <v>0.99305555555555514</v>
      </c>
      <c r="K28" s="29">
        <f>Ticketsys!H28</f>
        <v>1.1180555555555551</v>
      </c>
      <c r="L28" t="s">
        <v>37</v>
      </c>
      <c r="M28" t="s">
        <v>1588</v>
      </c>
      <c r="N28" s="1" t="str">
        <f t="shared" si="4"/>
        <v>short-haul flights</v>
      </c>
      <c r="O28" s="27">
        <f t="shared" si="7"/>
        <v>0.27083333333333326</v>
      </c>
      <c r="P28" t="s">
        <v>1614</v>
      </c>
      <c r="Q28">
        <f>Ticketsys!J28</f>
        <v>0</v>
      </c>
    </row>
    <row r="29" spans="1:17">
      <c r="A29" s="10" t="s">
        <v>31</v>
      </c>
      <c r="B29" t="s">
        <v>1390</v>
      </c>
      <c r="C29" t="str">
        <f>IF(Ticketsys!C29=CONCATENATE("long","-","haul"," ","flights"),"YES","NO")</f>
        <v>NO</v>
      </c>
      <c r="D29">
        <f t="shared" si="0"/>
        <v>325</v>
      </c>
      <c r="E29">
        <f t="shared" si="1"/>
        <v>65</v>
      </c>
      <c r="F29">
        <f t="shared" si="2"/>
        <v>65</v>
      </c>
      <c r="G29">
        <f t="shared" si="3"/>
        <v>195</v>
      </c>
      <c r="H29" s="2">
        <f t="shared" si="5"/>
        <v>42545</v>
      </c>
      <c r="I29" s="26">
        <f t="shared" si="6"/>
        <v>1.0312499999999996</v>
      </c>
      <c r="K29" s="29">
        <f>Ticketsys!H29</f>
        <v>1.1562499999999996</v>
      </c>
      <c r="L29" t="s">
        <v>37</v>
      </c>
      <c r="M29" t="s">
        <v>1589</v>
      </c>
      <c r="N29" s="1" t="str">
        <f t="shared" si="4"/>
        <v>short-haul flights</v>
      </c>
      <c r="O29" s="27">
        <f t="shared" si="7"/>
        <v>0.28124999999999994</v>
      </c>
      <c r="P29" t="s">
        <v>1612</v>
      </c>
      <c r="Q29">
        <f>Ticketsys!J29</f>
        <v>0</v>
      </c>
    </row>
    <row r="30" spans="1:17">
      <c r="A30" s="10" t="s">
        <v>32</v>
      </c>
      <c r="B30" t="s">
        <v>1391</v>
      </c>
      <c r="C30" t="str">
        <f>IF(Ticketsys!C30=CONCATENATE("long","-","haul"," ","flights"),"YES","NO")</f>
        <v>NO</v>
      </c>
      <c r="D30">
        <f t="shared" si="0"/>
        <v>325</v>
      </c>
      <c r="E30">
        <f t="shared" si="1"/>
        <v>65</v>
      </c>
      <c r="F30">
        <f t="shared" si="2"/>
        <v>65</v>
      </c>
      <c r="G30">
        <f t="shared" si="3"/>
        <v>195</v>
      </c>
      <c r="H30" s="2">
        <f t="shared" si="5"/>
        <v>42565</v>
      </c>
      <c r="I30" s="26">
        <f t="shared" si="6"/>
        <v>1.069444444444444</v>
      </c>
      <c r="K30" s="29">
        <f>Ticketsys!H30</f>
        <v>1.194444444444444</v>
      </c>
      <c r="L30" t="s">
        <v>37</v>
      </c>
      <c r="M30" t="s">
        <v>1590</v>
      </c>
      <c r="N30" s="1" t="str">
        <f t="shared" si="4"/>
        <v>short-haul flights</v>
      </c>
      <c r="O30" s="27">
        <f t="shared" si="7"/>
        <v>0.29166666666666663</v>
      </c>
      <c r="P30" t="s">
        <v>1612</v>
      </c>
      <c r="Q30">
        <f>Ticketsys!J30</f>
        <v>0</v>
      </c>
    </row>
    <row r="31" spans="1:17">
      <c r="A31" s="10" t="s">
        <v>33</v>
      </c>
      <c r="B31" t="s">
        <v>1392</v>
      </c>
      <c r="C31" t="str">
        <f>IF(Ticketsys!C31=CONCATENATE("long","-","haul"," ","flights"),"YES","NO")</f>
        <v>NO</v>
      </c>
      <c r="D31">
        <f t="shared" si="0"/>
        <v>325</v>
      </c>
      <c r="E31">
        <f t="shared" si="1"/>
        <v>65</v>
      </c>
      <c r="F31">
        <f t="shared" si="2"/>
        <v>65</v>
      </c>
      <c r="G31">
        <f t="shared" si="3"/>
        <v>195</v>
      </c>
      <c r="H31" s="2">
        <f t="shared" si="5"/>
        <v>42585</v>
      </c>
      <c r="I31" s="26">
        <f t="shared" si="6"/>
        <v>1.1076388888888884</v>
      </c>
      <c r="K31" s="29">
        <f>Ticketsys!H31</f>
        <v>1.2326388888888884</v>
      </c>
      <c r="L31" t="s">
        <v>37</v>
      </c>
      <c r="M31" t="s">
        <v>1591</v>
      </c>
      <c r="N31" s="1" t="str">
        <f t="shared" si="4"/>
        <v>short-haul flights</v>
      </c>
      <c r="O31" s="27">
        <f t="shared" si="7"/>
        <v>0.30208333333333331</v>
      </c>
      <c r="P31" t="s">
        <v>1614</v>
      </c>
      <c r="Q31">
        <f>Ticketsys!J31</f>
        <v>0</v>
      </c>
    </row>
    <row r="32" spans="1:17">
      <c r="A32" s="10" t="s">
        <v>24</v>
      </c>
      <c r="B32" t="s">
        <v>1393</v>
      </c>
      <c r="C32" t="str">
        <f>IF(Ticketsys!C32=CONCATENATE("long","-","haul"," ","flights"),"YES","NO")</f>
        <v>NO</v>
      </c>
      <c r="D32">
        <f t="shared" si="0"/>
        <v>325</v>
      </c>
      <c r="E32">
        <f t="shared" si="1"/>
        <v>65</v>
      </c>
      <c r="F32">
        <f t="shared" si="2"/>
        <v>65</v>
      </c>
      <c r="G32">
        <f t="shared" si="3"/>
        <v>195</v>
      </c>
      <c r="H32" s="2">
        <f t="shared" si="5"/>
        <v>42605</v>
      </c>
      <c r="I32" s="26">
        <f t="shared" si="6"/>
        <v>1.1458333333333328</v>
      </c>
      <c r="K32" s="29">
        <f>Ticketsys!H32</f>
        <v>1.2708333333333328</v>
      </c>
      <c r="L32" t="s">
        <v>37</v>
      </c>
      <c r="M32" t="s">
        <v>1592</v>
      </c>
      <c r="N32" s="1" t="str">
        <f t="shared" si="4"/>
        <v>short-haul flights</v>
      </c>
      <c r="O32" s="27">
        <f t="shared" si="7"/>
        <v>0.3125</v>
      </c>
      <c r="P32" t="s">
        <v>1614</v>
      </c>
      <c r="Q32">
        <f>Ticketsys!J32</f>
        <v>0</v>
      </c>
    </row>
    <row r="33" spans="1:17">
      <c r="A33" s="10" t="s">
        <v>25</v>
      </c>
      <c r="B33" t="s">
        <v>1394</v>
      </c>
      <c r="C33" t="str">
        <f>IF(Ticketsys!C33=CONCATENATE("long","-","haul"," ","flights"),"YES","NO")</f>
        <v>NO</v>
      </c>
      <c r="D33">
        <f t="shared" si="0"/>
        <v>325</v>
      </c>
      <c r="E33">
        <f t="shared" si="1"/>
        <v>65</v>
      </c>
      <c r="F33">
        <f t="shared" si="2"/>
        <v>65</v>
      </c>
      <c r="G33">
        <f t="shared" si="3"/>
        <v>195</v>
      </c>
      <c r="H33" s="2">
        <f t="shared" si="5"/>
        <v>42625</v>
      </c>
      <c r="I33" s="26">
        <f t="shared" si="6"/>
        <v>1.1840277777777772</v>
      </c>
      <c r="K33" s="29">
        <f>Ticketsys!H33</f>
        <v>1.3090277777777772</v>
      </c>
      <c r="L33" t="s">
        <v>37</v>
      </c>
      <c r="M33" t="s">
        <v>1593</v>
      </c>
      <c r="N33" s="1" t="str">
        <f t="shared" si="4"/>
        <v>short-haul flights</v>
      </c>
      <c r="O33" s="27">
        <f t="shared" si="7"/>
        <v>0.32291666666666669</v>
      </c>
      <c r="P33" t="s">
        <v>1614</v>
      </c>
      <c r="Q33">
        <f>Ticketsys!J33</f>
        <v>0</v>
      </c>
    </row>
    <row r="34" spans="1:17">
      <c r="A34" s="10" t="s">
        <v>26</v>
      </c>
      <c r="B34" t="s">
        <v>1395</v>
      </c>
      <c r="C34" t="str">
        <f>IF(Ticketsys!C34=CONCATENATE("long","-","haul"," ","flights"),"YES","NO")</f>
        <v>NO</v>
      </c>
      <c r="D34">
        <f t="shared" si="0"/>
        <v>325</v>
      </c>
      <c r="E34">
        <f t="shared" si="1"/>
        <v>65</v>
      </c>
      <c r="F34">
        <f t="shared" si="2"/>
        <v>65</v>
      </c>
      <c r="G34">
        <f t="shared" si="3"/>
        <v>195</v>
      </c>
      <c r="H34" s="2">
        <f t="shared" si="5"/>
        <v>42645</v>
      </c>
      <c r="I34" s="26">
        <f t="shared" si="6"/>
        <v>1.2222222222222217</v>
      </c>
      <c r="K34" s="29">
        <f>Ticketsys!H34</f>
        <v>1.3472222222222217</v>
      </c>
      <c r="L34" t="s">
        <v>37</v>
      </c>
      <c r="M34" t="s">
        <v>1594</v>
      </c>
      <c r="N34" s="1" t="str">
        <f t="shared" si="4"/>
        <v>short-haul flights</v>
      </c>
      <c r="O34" s="27">
        <f t="shared" si="7"/>
        <v>0.33333333333333337</v>
      </c>
      <c r="P34" t="s">
        <v>1613</v>
      </c>
      <c r="Q34">
        <f>Ticketsys!J34</f>
        <v>0</v>
      </c>
    </row>
    <row r="35" spans="1:17">
      <c r="A35" s="10" t="s">
        <v>27</v>
      </c>
      <c r="B35" t="s">
        <v>1396</v>
      </c>
      <c r="C35" t="str">
        <f>IF(Ticketsys!C35=CONCATENATE("long","-","haul"," ","flights"),"YES","NO")</f>
        <v>NO</v>
      </c>
      <c r="D35">
        <f t="shared" si="0"/>
        <v>325</v>
      </c>
      <c r="E35">
        <f t="shared" si="1"/>
        <v>65</v>
      </c>
      <c r="F35">
        <f t="shared" si="2"/>
        <v>65</v>
      </c>
      <c r="G35">
        <f t="shared" si="3"/>
        <v>195</v>
      </c>
      <c r="H35" s="2">
        <f t="shared" si="5"/>
        <v>42665</v>
      </c>
      <c r="I35" s="26">
        <f t="shared" si="6"/>
        <v>1.2604166666666661</v>
      </c>
      <c r="K35" s="29">
        <f>Ticketsys!H35</f>
        <v>1.3854166666666661</v>
      </c>
      <c r="L35" t="s">
        <v>37</v>
      </c>
      <c r="M35" t="s">
        <v>1595</v>
      </c>
      <c r="N35" s="1" t="str">
        <f t="shared" si="4"/>
        <v>short-haul flights</v>
      </c>
      <c r="O35" s="27">
        <f t="shared" si="7"/>
        <v>0.34375000000000006</v>
      </c>
      <c r="P35" t="s">
        <v>1612</v>
      </c>
      <c r="Q35">
        <f>Ticketsys!J35</f>
        <v>0</v>
      </c>
    </row>
    <row r="36" spans="1:17">
      <c r="A36" s="10" t="s">
        <v>28</v>
      </c>
      <c r="B36" t="s">
        <v>1397</v>
      </c>
      <c r="C36" t="str">
        <f>IF(Ticketsys!C36=CONCATENATE("long","-","haul"," ","flights"),"YES","NO")</f>
        <v>NO</v>
      </c>
      <c r="D36">
        <f t="shared" si="0"/>
        <v>325</v>
      </c>
      <c r="E36">
        <f t="shared" si="1"/>
        <v>65</v>
      </c>
      <c r="F36">
        <f t="shared" si="2"/>
        <v>65</v>
      </c>
      <c r="G36">
        <f t="shared" si="3"/>
        <v>195</v>
      </c>
      <c r="H36" s="2">
        <f t="shared" si="5"/>
        <v>42685</v>
      </c>
      <c r="I36" s="26">
        <f t="shared" si="6"/>
        <v>1.2986111111111105</v>
      </c>
      <c r="K36" s="29">
        <f>Ticketsys!H36</f>
        <v>1.4236111111111105</v>
      </c>
      <c r="L36" t="s">
        <v>37</v>
      </c>
      <c r="M36" t="s">
        <v>1597</v>
      </c>
      <c r="N36" s="1" t="str">
        <f t="shared" si="4"/>
        <v>short-haul flights</v>
      </c>
      <c r="O36" s="27">
        <f t="shared" si="7"/>
        <v>0.35416666666666674</v>
      </c>
      <c r="P36" t="s">
        <v>1613</v>
      </c>
      <c r="Q36">
        <f>Ticketsys!J36</f>
        <v>0</v>
      </c>
    </row>
    <row r="37" spans="1:17">
      <c r="A37" s="10" t="s">
        <v>29</v>
      </c>
      <c r="B37" t="s">
        <v>1398</v>
      </c>
      <c r="C37" t="str">
        <f>IF(Ticketsys!C37=CONCATENATE("long","-","haul"," ","flights"),"YES","NO")</f>
        <v>NO</v>
      </c>
      <c r="D37">
        <f t="shared" si="0"/>
        <v>325</v>
      </c>
      <c r="E37">
        <f t="shared" si="1"/>
        <v>65</v>
      </c>
      <c r="F37">
        <f t="shared" si="2"/>
        <v>65</v>
      </c>
      <c r="G37">
        <f t="shared" si="3"/>
        <v>195</v>
      </c>
      <c r="H37" s="2">
        <f t="shared" si="5"/>
        <v>42705</v>
      </c>
      <c r="I37" s="26">
        <f t="shared" si="6"/>
        <v>1.3368055555555549</v>
      </c>
      <c r="K37" s="29">
        <f>Ticketsys!H37</f>
        <v>1.4618055555555549</v>
      </c>
      <c r="L37" t="s">
        <v>37</v>
      </c>
      <c r="M37" t="s">
        <v>1596</v>
      </c>
      <c r="N37" s="1" t="str">
        <f t="shared" si="4"/>
        <v>short-haul flights</v>
      </c>
      <c r="O37" s="27">
        <f t="shared" si="7"/>
        <v>0.36458333333333343</v>
      </c>
      <c r="P37" t="s">
        <v>1612</v>
      </c>
      <c r="Q37">
        <f>Ticketsys!J37</f>
        <v>0</v>
      </c>
    </row>
    <row r="38" spans="1:17">
      <c r="A38" s="10" t="s">
        <v>30</v>
      </c>
      <c r="B38" t="s">
        <v>1399</v>
      </c>
      <c r="C38" t="str">
        <f>IF(Ticketsys!C38=CONCATENATE("long","-","haul"," ","flights"),"YES","NO")</f>
        <v>NO</v>
      </c>
      <c r="D38">
        <f t="shared" si="0"/>
        <v>325</v>
      </c>
      <c r="E38">
        <f t="shared" si="1"/>
        <v>65</v>
      </c>
      <c r="F38">
        <f t="shared" si="2"/>
        <v>65</v>
      </c>
      <c r="G38">
        <f t="shared" si="3"/>
        <v>195</v>
      </c>
      <c r="H38" s="2">
        <f t="shared" si="5"/>
        <v>42725</v>
      </c>
      <c r="I38" s="26">
        <f t="shared" si="6"/>
        <v>1.3749999999999993</v>
      </c>
      <c r="K38" s="29">
        <f>Ticketsys!H38</f>
        <v>1.4999999999999993</v>
      </c>
      <c r="L38" t="s">
        <v>37</v>
      </c>
      <c r="M38" t="s">
        <v>1597</v>
      </c>
      <c r="N38" s="1" t="str">
        <f t="shared" si="4"/>
        <v>short-haul flights</v>
      </c>
      <c r="O38" s="27">
        <f t="shared" si="7"/>
        <v>0.37500000000000011</v>
      </c>
      <c r="P38" t="s">
        <v>1614</v>
      </c>
      <c r="Q38">
        <f>Ticketsys!J38</f>
        <v>0</v>
      </c>
    </row>
    <row r="39" spans="1:17">
      <c r="A39" s="10" t="s">
        <v>31</v>
      </c>
      <c r="B39" t="s">
        <v>1400</v>
      </c>
      <c r="C39" t="str">
        <f>IF(Ticketsys!C39=CONCATENATE("long","-","haul"," ","flights"),"YES","NO")</f>
        <v>NO</v>
      </c>
      <c r="D39">
        <f t="shared" si="0"/>
        <v>325</v>
      </c>
      <c r="E39">
        <f t="shared" si="1"/>
        <v>65</v>
      </c>
      <c r="F39">
        <f t="shared" si="2"/>
        <v>65</v>
      </c>
      <c r="G39">
        <f t="shared" si="3"/>
        <v>195</v>
      </c>
      <c r="H39" s="2">
        <f t="shared" si="5"/>
        <v>42745</v>
      </c>
      <c r="I39" s="26">
        <f t="shared" si="6"/>
        <v>1.4131944444444438</v>
      </c>
      <c r="K39" s="29">
        <f>Ticketsys!H39</f>
        <v>1.5381944444444438</v>
      </c>
      <c r="L39" t="s">
        <v>37</v>
      </c>
      <c r="M39" t="s">
        <v>1598</v>
      </c>
      <c r="N39" s="1" t="str">
        <f t="shared" si="4"/>
        <v>short-haul flights</v>
      </c>
      <c r="O39" s="27">
        <f t="shared" si="7"/>
        <v>0.3854166666666668</v>
      </c>
      <c r="P39" t="s">
        <v>1614</v>
      </c>
      <c r="Q39">
        <f>Ticketsys!J39</f>
        <v>0</v>
      </c>
    </row>
    <row r="40" spans="1:17">
      <c r="A40" s="10" t="s">
        <v>32</v>
      </c>
      <c r="B40" t="s">
        <v>1401</v>
      </c>
      <c r="C40" t="str">
        <f>IF(Ticketsys!C40=CONCATENATE("long","-","haul"," ","flights"),"YES","NO")</f>
        <v>NO</v>
      </c>
      <c r="D40">
        <f t="shared" si="0"/>
        <v>325</v>
      </c>
      <c r="E40">
        <f t="shared" si="1"/>
        <v>65</v>
      </c>
      <c r="F40">
        <f t="shared" si="2"/>
        <v>65</v>
      </c>
      <c r="G40">
        <f t="shared" si="3"/>
        <v>195</v>
      </c>
      <c r="H40" s="2">
        <f t="shared" si="5"/>
        <v>42765</v>
      </c>
      <c r="I40" s="26">
        <f t="shared" si="6"/>
        <v>1.4513888888888882</v>
      </c>
      <c r="K40" s="29">
        <f>Ticketsys!H40</f>
        <v>1.5763888888888882</v>
      </c>
      <c r="L40" t="s">
        <v>37</v>
      </c>
      <c r="M40" t="s">
        <v>1599</v>
      </c>
      <c r="N40" s="1" t="str">
        <f t="shared" si="4"/>
        <v>short-haul flights</v>
      </c>
      <c r="O40" s="27">
        <f t="shared" si="7"/>
        <v>0.39583333333333348</v>
      </c>
      <c r="P40" t="s">
        <v>1614</v>
      </c>
      <c r="Q40">
        <f>Ticketsys!J40</f>
        <v>0</v>
      </c>
    </row>
    <row r="41" spans="1:17">
      <c r="A41" s="10" t="s">
        <v>33</v>
      </c>
      <c r="B41" t="s">
        <v>1402</v>
      </c>
      <c r="C41" t="str">
        <f>IF(Ticketsys!C41=CONCATENATE("long","-","haul"," ","flights"),"YES","NO")</f>
        <v>NO</v>
      </c>
      <c r="D41">
        <f t="shared" si="0"/>
        <v>325</v>
      </c>
      <c r="E41">
        <f t="shared" si="1"/>
        <v>65</v>
      </c>
      <c r="F41">
        <f t="shared" si="2"/>
        <v>65</v>
      </c>
      <c r="G41">
        <f t="shared" si="3"/>
        <v>195</v>
      </c>
      <c r="H41" s="2">
        <f t="shared" si="5"/>
        <v>42785</v>
      </c>
      <c r="I41" s="26">
        <f t="shared" si="6"/>
        <v>1.4895833333333326</v>
      </c>
      <c r="K41" s="29">
        <f>Ticketsys!H41</f>
        <v>1.6145833333333326</v>
      </c>
      <c r="L41" t="s">
        <v>37</v>
      </c>
      <c r="M41" t="s">
        <v>1600</v>
      </c>
      <c r="N41" s="1" t="str">
        <f t="shared" si="4"/>
        <v>short-haul flights</v>
      </c>
      <c r="O41" s="27">
        <f t="shared" si="7"/>
        <v>0.40625000000000017</v>
      </c>
      <c r="P41" t="s">
        <v>1614</v>
      </c>
      <c r="Q41">
        <f>Ticketsys!J41</f>
        <v>0</v>
      </c>
    </row>
    <row r="42" spans="1:17">
      <c r="A42" s="10" t="s">
        <v>24</v>
      </c>
      <c r="B42" t="s">
        <v>1403</v>
      </c>
      <c r="C42" t="str">
        <f>IF(Ticketsys!C42=CONCATENATE("long","-","haul"," ","flights"),"YES","NO")</f>
        <v>NO</v>
      </c>
      <c r="D42">
        <f t="shared" si="0"/>
        <v>325</v>
      </c>
      <c r="E42">
        <f t="shared" si="1"/>
        <v>65</v>
      </c>
      <c r="F42">
        <f t="shared" si="2"/>
        <v>65</v>
      </c>
      <c r="G42">
        <f t="shared" si="3"/>
        <v>195</v>
      </c>
      <c r="H42" s="2">
        <f t="shared" si="5"/>
        <v>42805</v>
      </c>
      <c r="I42" s="26">
        <f t="shared" si="6"/>
        <v>1.527777777777777</v>
      </c>
      <c r="K42" s="29">
        <f>Ticketsys!H42</f>
        <v>1.652777777777777</v>
      </c>
      <c r="L42" t="s">
        <v>37</v>
      </c>
      <c r="M42" t="s">
        <v>1601</v>
      </c>
      <c r="N42" s="1" t="str">
        <f t="shared" si="4"/>
        <v>short-haul flights</v>
      </c>
      <c r="O42" s="27">
        <f t="shared" si="7"/>
        <v>0.41666666666666685</v>
      </c>
      <c r="P42" t="s">
        <v>1614</v>
      </c>
      <c r="Q42">
        <f>Ticketsys!J42</f>
        <v>0</v>
      </c>
    </row>
    <row r="43" spans="1:17">
      <c r="A43" s="10" t="s">
        <v>25</v>
      </c>
      <c r="B43" t="s">
        <v>1404</v>
      </c>
      <c r="C43" t="str">
        <f>IF(Ticketsys!C43=CONCATENATE("long","-","haul"," ","flights"),"YES","NO")</f>
        <v>NO</v>
      </c>
      <c r="D43">
        <f t="shared" si="0"/>
        <v>325</v>
      </c>
      <c r="E43">
        <f t="shared" si="1"/>
        <v>65</v>
      </c>
      <c r="F43">
        <f t="shared" si="2"/>
        <v>65</v>
      </c>
      <c r="G43">
        <f t="shared" si="3"/>
        <v>195</v>
      </c>
      <c r="H43" s="2">
        <f t="shared" si="5"/>
        <v>42825</v>
      </c>
      <c r="I43" s="26">
        <f t="shared" si="6"/>
        <v>1.5659722222222214</v>
      </c>
      <c r="K43" s="29">
        <f>Ticketsys!H43</f>
        <v>1.6909722222222214</v>
      </c>
      <c r="L43" t="s">
        <v>37</v>
      </c>
      <c r="M43" t="s">
        <v>1602</v>
      </c>
      <c r="N43" s="1" t="str">
        <f t="shared" si="4"/>
        <v>short-haul flights</v>
      </c>
      <c r="O43" s="27">
        <f t="shared" si="7"/>
        <v>0.42708333333333354</v>
      </c>
      <c r="P43" t="s">
        <v>1612</v>
      </c>
      <c r="Q43">
        <f>Ticketsys!J43</f>
        <v>0</v>
      </c>
    </row>
    <row r="44" spans="1:17">
      <c r="A44" s="10" t="s">
        <v>26</v>
      </c>
      <c r="B44" t="s">
        <v>1405</v>
      </c>
      <c r="C44" t="str">
        <f>IF(Ticketsys!C44=CONCATENATE("long","-","haul"," ","flights"),"YES","NO")</f>
        <v>NO</v>
      </c>
      <c r="D44">
        <f t="shared" si="0"/>
        <v>325</v>
      </c>
      <c r="E44">
        <f t="shared" si="1"/>
        <v>65</v>
      </c>
      <c r="F44">
        <f t="shared" si="2"/>
        <v>65</v>
      </c>
      <c r="G44">
        <f t="shared" si="3"/>
        <v>195</v>
      </c>
      <c r="H44" s="2">
        <f t="shared" si="5"/>
        <v>42845</v>
      </c>
      <c r="I44" s="26">
        <f t="shared" si="6"/>
        <v>1.6041666666666659</v>
      </c>
      <c r="K44" s="29">
        <f>Ticketsys!H44</f>
        <v>1.7291666666666659</v>
      </c>
      <c r="L44" t="s">
        <v>37</v>
      </c>
      <c r="M44" t="s">
        <v>1603</v>
      </c>
      <c r="N44" s="1" t="str">
        <f t="shared" si="4"/>
        <v>short-haul flights</v>
      </c>
      <c r="O44" s="27">
        <f t="shared" si="7"/>
        <v>0.43750000000000022</v>
      </c>
      <c r="P44" t="s">
        <v>1614</v>
      </c>
      <c r="Q44">
        <f>Ticketsys!J44</f>
        <v>0</v>
      </c>
    </row>
    <row r="45" spans="1:17">
      <c r="A45" s="10" t="s">
        <v>27</v>
      </c>
      <c r="B45" t="s">
        <v>1406</v>
      </c>
      <c r="C45" t="str">
        <f>IF(Ticketsys!C45=CONCATENATE("long","-","haul"," ","flights"),"YES","NO")</f>
        <v>NO</v>
      </c>
      <c r="D45">
        <f t="shared" si="0"/>
        <v>325</v>
      </c>
      <c r="E45">
        <f t="shared" si="1"/>
        <v>65</v>
      </c>
      <c r="F45">
        <f t="shared" si="2"/>
        <v>65</v>
      </c>
      <c r="G45">
        <f t="shared" si="3"/>
        <v>195</v>
      </c>
      <c r="H45" s="2">
        <f t="shared" si="5"/>
        <v>42865</v>
      </c>
      <c r="I45" s="26">
        <f t="shared" si="6"/>
        <v>1.6423611111111103</v>
      </c>
      <c r="K45" s="29">
        <f>Ticketsys!H45</f>
        <v>1.7673611111111103</v>
      </c>
      <c r="L45" t="s">
        <v>37</v>
      </c>
      <c r="M45" t="s">
        <v>1604</v>
      </c>
      <c r="N45" s="1" t="str">
        <f t="shared" si="4"/>
        <v>short-haul flights</v>
      </c>
      <c r="O45" s="27">
        <f t="shared" si="7"/>
        <v>0.44791666666666691</v>
      </c>
      <c r="P45" t="s">
        <v>1612</v>
      </c>
      <c r="Q45">
        <f>Ticketsys!J45</f>
        <v>0</v>
      </c>
    </row>
    <row r="46" spans="1:17">
      <c r="A46" s="10" t="s">
        <v>28</v>
      </c>
      <c r="B46" t="s">
        <v>1407</v>
      </c>
      <c r="C46" t="str">
        <f>IF(Ticketsys!C46=CONCATENATE("long","-","haul"," ","flights"),"YES","NO")</f>
        <v>NO</v>
      </c>
      <c r="D46">
        <f t="shared" si="0"/>
        <v>325</v>
      </c>
      <c r="E46">
        <f t="shared" si="1"/>
        <v>65</v>
      </c>
      <c r="F46">
        <f t="shared" si="2"/>
        <v>65</v>
      </c>
      <c r="G46">
        <f t="shared" si="3"/>
        <v>195</v>
      </c>
      <c r="H46" s="2">
        <f t="shared" si="5"/>
        <v>42885</v>
      </c>
      <c r="I46" s="26">
        <f t="shared" si="6"/>
        <v>1.6805555555555547</v>
      </c>
      <c r="K46" s="29">
        <f>Ticketsys!H46</f>
        <v>1.8055555555555547</v>
      </c>
      <c r="L46" t="s">
        <v>37</v>
      </c>
      <c r="M46" t="s">
        <v>1605</v>
      </c>
      <c r="N46" s="1" t="str">
        <f t="shared" si="4"/>
        <v>short-haul flights</v>
      </c>
      <c r="O46" s="27">
        <f t="shared" si="7"/>
        <v>0.45833333333333359</v>
      </c>
      <c r="P46" t="s">
        <v>1612</v>
      </c>
      <c r="Q46">
        <f>Ticketsys!J46</f>
        <v>0</v>
      </c>
    </row>
    <row r="47" spans="1:17">
      <c r="A47" s="10" t="s">
        <v>29</v>
      </c>
      <c r="B47" t="s">
        <v>1408</v>
      </c>
      <c r="C47" t="str">
        <f>IF(Ticketsys!C47=CONCATENATE("long","-","haul"," ","flights"),"YES","NO")</f>
        <v>NO</v>
      </c>
      <c r="D47">
        <f t="shared" si="0"/>
        <v>325</v>
      </c>
      <c r="E47">
        <f t="shared" si="1"/>
        <v>65</v>
      </c>
      <c r="F47">
        <f t="shared" si="2"/>
        <v>65</v>
      </c>
      <c r="G47">
        <f t="shared" si="3"/>
        <v>195</v>
      </c>
      <c r="H47" s="2">
        <f t="shared" si="5"/>
        <v>42905</v>
      </c>
      <c r="I47" s="26">
        <f t="shared" si="6"/>
        <v>1.7187499999999991</v>
      </c>
      <c r="K47" s="29">
        <f>Ticketsys!H47</f>
        <v>1.8437499999999991</v>
      </c>
      <c r="L47" t="s">
        <v>37</v>
      </c>
      <c r="M47" t="s">
        <v>1606</v>
      </c>
      <c r="N47" s="1" t="str">
        <f t="shared" si="4"/>
        <v>short-haul flights</v>
      </c>
      <c r="O47" s="27">
        <f t="shared" si="7"/>
        <v>0.46875000000000028</v>
      </c>
      <c r="P47" t="s">
        <v>1614</v>
      </c>
      <c r="Q47">
        <f>Ticketsys!J47</f>
        <v>0</v>
      </c>
    </row>
    <row r="48" spans="1:17">
      <c r="A48" s="10" t="s">
        <v>30</v>
      </c>
      <c r="B48" t="s">
        <v>1409</v>
      </c>
      <c r="C48" t="str">
        <f>IF(Ticketsys!C48=CONCATENATE("long","-","haul"," ","flights"),"YES","NO")</f>
        <v>NO</v>
      </c>
      <c r="D48">
        <f t="shared" si="0"/>
        <v>325</v>
      </c>
      <c r="E48">
        <f t="shared" si="1"/>
        <v>65</v>
      </c>
      <c r="F48">
        <f t="shared" si="2"/>
        <v>65</v>
      </c>
      <c r="G48">
        <f t="shared" si="3"/>
        <v>195</v>
      </c>
      <c r="H48" s="2">
        <f t="shared" si="5"/>
        <v>42925</v>
      </c>
      <c r="I48" s="26">
        <f t="shared" si="6"/>
        <v>1.7569444444444435</v>
      </c>
      <c r="K48" s="29">
        <f>Ticketsys!H48</f>
        <v>1.8819444444444435</v>
      </c>
      <c r="L48" t="s">
        <v>37</v>
      </c>
      <c r="M48" t="s">
        <v>1607</v>
      </c>
      <c r="N48" s="1" t="str">
        <f t="shared" si="4"/>
        <v>short-haul flights</v>
      </c>
      <c r="O48" s="27">
        <f t="shared" si="7"/>
        <v>0.47916666666666696</v>
      </c>
      <c r="P48" t="s">
        <v>1614</v>
      </c>
      <c r="Q48">
        <f>Ticketsys!J48</f>
        <v>0</v>
      </c>
    </row>
    <row r="49" spans="1:17">
      <c r="A49" s="10" t="s">
        <v>31</v>
      </c>
      <c r="B49" t="s">
        <v>1410</v>
      </c>
      <c r="C49" t="str">
        <f>IF(Ticketsys!C49=CONCATENATE("long","-","haul"," ","flights"),"YES","NO")</f>
        <v>NO</v>
      </c>
      <c r="D49">
        <f t="shared" si="0"/>
        <v>325</v>
      </c>
      <c r="E49">
        <f t="shared" si="1"/>
        <v>65</v>
      </c>
      <c r="F49">
        <f t="shared" si="2"/>
        <v>65</v>
      </c>
      <c r="G49">
        <f t="shared" si="3"/>
        <v>195</v>
      </c>
      <c r="H49" s="2">
        <f t="shared" si="5"/>
        <v>42945</v>
      </c>
      <c r="I49" s="26">
        <f t="shared" si="6"/>
        <v>1.795138888888888</v>
      </c>
      <c r="K49" s="29">
        <f>Ticketsys!H49</f>
        <v>1.920138888888888</v>
      </c>
      <c r="L49" t="s">
        <v>37</v>
      </c>
      <c r="M49" t="s">
        <v>1608</v>
      </c>
      <c r="N49" s="1" t="str">
        <f t="shared" si="4"/>
        <v>short-haul flights</v>
      </c>
      <c r="O49" s="27">
        <f t="shared" si="7"/>
        <v>0.48958333333333365</v>
      </c>
      <c r="P49" t="s">
        <v>1614</v>
      </c>
      <c r="Q49">
        <f>Ticketsys!J49</f>
        <v>0</v>
      </c>
    </row>
    <row r="50" spans="1:17">
      <c r="A50" s="10" t="s">
        <v>32</v>
      </c>
      <c r="B50" t="s">
        <v>1411</v>
      </c>
      <c r="C50" t="str">
        <f>IF(Ticketsys!C50=CONCATENATE("long","-","haul"," ","flights"),"YES","NO")</f>
        <v>NO</v>
      </c>
      <c r="D50">
        <f t="shared" si="0"/>
        <v>325</v>
      </c>
      <c r="E50">
        <f t="shared" si="1"/>
        <v>65</v>
      </c>
      <c r="F50">
        <f t="shared" si="2"/>
        <v>65</v>
      </c>
      <c r="G50">
        <f t="shared" si="3"/>
        <v>195</v>
      </c>
      <c r="H50" s="2">
        <f t="shared" si="5"/>
        <v>42965</v>
      </c>
      <c r="I50" s="26">
        <f t="shared" si="6"/>
        <v>1.8333333333333324</v>
      </c>
      <c r="K50" s="29">
        <f>Ticketsys!H50</f>
        <v>1.9583333333333324</v>
      </c>
      <c r="L50" t="s">
        <v>37</v>
      </c>
      <c r="M50" t="s">
        <v>1609</v>
      </c>
      <c r="N50" s="1" t="str">
        <f t="shared" si="4"/>
        <v>short-haul flights</v>
      </c>
      <c r="O50" s="27">
        <f t="shared" si="7"/>
        <v>0.50000000000000033</v>
      </c>
      <c r="P50" t="s">
        <v>2759</v>
      </c>
      <c r="Q50">
        <f>Ticketsys!J50</f>
        <v>0</v>
      </c>
    </row>
    <row r="51" spans="1:17">
      <c r="A51" s="10" t="s">
        <v>33</v>
      </c>
      <c r="B51" t="s">
        <v>1412</v>
      </c>
      <c r="C51" t="str">
        <f>IF(Ticketsys!C51=CONCATENATE("long","-","haul"," ","flights"),"YES","NO")</f>
        <v>NO</v>
      </c>
      <c r="D51">
        <f t="shared" si="0"/>
        <v>325</v>
      </c>
      <c r="E51">
        <f t="shared" si="1"/>
        <v>65</v>
      </c>
      <c r="F51">
        <f t="shared" si="2"/>
        <v>65</v>
      </c>
      <c r="G51">
        <f t="shared" si="3"/>
        <v>195</v>
      </c>
      <c r="H51" s="2">
        <f t="shared" si="5"/>
        <v>42985</v>
      </c>
      <c r="I51" s="26">
        <f t="shared" si="6"/>
        <v>1.8715277777777768</v>
      </c>
      <c r="K51" s="29">
        <f>Ticketsys!H51</f>
        <v>1.9965277777777768</v>
      </c>
      <c r="L51" t="s">
        <v>37</v>
      </c>
      <c r="M51" t="s">
        <v>1611</v>
      </c>
      <c r="N51" s="1" t="str">
        <f t="shared" si="4"/>
        <v>short-haul flights</v>
      </c>
      <c r="O51" s="27">
        <f t="shared" si="7"/>
        <v>0.51041666666666696</v>
      </c>
      <c r="P51" t="s">
        <v>1612</v>
      </c>
      <c r="Q51">
        <f>Ticketsys!J51</f>
        <v>0</v>
      </c>
    </row>
    <row r="52" spans="1:17">
      <c r="A52" s="10" t="s">
        <v>24</v>
      </c>
      <c r="B52" t="s">
        <v>1413</v>
      </c>
      <c r="C52" t="str">
        <f>IF(Ticketsys!C52=CONCATENATE("long","-","haul"," ","flights"),"YES","NO")</f>
        <v>NO</v>
      </c>
      <c r="D52">
        <f t="shared" si="0"/>
        <v>325</v>
      </c>
      <c r="E52">
        <f t="shared" si="1"/>
        <v>65</v>
      </c>
      <c r="F52">
        <f t="shared" si="2"/>
        <v>65</v>
      </c>
      <c r="G52">
        <f t="shared" si="3"/>
        <v>195</v>
      </c>
      <c r="H52" s="2">
        <f t="shared" si="5"/>
        <v>43005</v>
      </c>
      <c r="I52" s="26">
        <f t="shared" si="6"/>
        <v>1.9097222222222212</v>
      </c>
      <c r="K52" s="29">
        <f>Ticketsys!H52</f>
        <v>2.0347222222222214</v>
      </c>
      <c r="L52" t="s">
        <v>37</v>
      </c>
      <c r="M52" t="s">
        <v>49</v>
      </c>
      <c r="N52" s="1" t="str">
        <f t="shared" si="4"/>
        <v>short-haul flights</v>
      </c>
      <c r="O52" s="27">
        <f t="shared" si="7"/>
        <v>0.52083333333333359</v>
      </c>
      <c r="P52" t="s">
        <v>1613</v>
      </c>
      <c r="Q52">
        <f>Ticketsys!J52</f>
        <v>0</v>
      </c>
    </row>
    <row r="53" spans="1:17">
      <c r="A53" s="10" t="s">
        <v>25</v>
      </c>
      <c r="B53" t="s">
        <v>1414</v>
      </c>
      <c r="C53" t="str">
        <f>IF(Ticketsys!C53=CONCATENATE("long","-","haul"," ","flights"),"YES","NO")</f>
        <v>NO</v>
      </c>
      <c r="D53">
        <f t="shared" si="0"/>
        <v>325</v>
      </c>
      <c r="E53">
        <f t="shared" si="1"/>
        <v>65</v>
      </c>
      <c r="F53">
        <f t="shared" si="2"/>
        <v>65</v>
      </c>
      <c r="G53">
        <f t="shared" si="3"/>
        <v>195</v>
      </c>
      <c r="H53" s="2">
        <f t="shared" si="5"/>
        <v>43025</v>
      </c>
      <c r="I53" s="26">
        <f t="shared" si="6"/>
        <v>1.9479166666666656</v>
      </c>
      <c r="K53" s="29">
        <f>Ticketsys!H53</f>
        <v>2.0729166666666656</v>
      </c>
      <c r="L53" t="s">
        <v>37</v>
      </c>
      <c r="M53" t="s">
        <v>1610</v>
      </c>
      <c r="N53" s="1" t="str">
        <f t="shared" si="4"/>
        <v>short-haul flights</v>
      </c>
      <c r="O53" s="27">
        <f t="shared" si="7"/>
        <v>0.53125000000000022</v>
      </c>
      <c r="P53" t="s">
        <v>1612</v>
      </c>
      <c r="Q53">
        <f>Ticketsys!J53</f>
        <v>0</v>
      </c>
    </row>
    <row r="54" spans="1:17">
      <c r="A54" s="10" t="s">
        <v>26</v>
      </c>
      <c r="B54" t="s">
        <v>1415</v>
      </c>
      <c r="C54" t="str">
        <f>IF(Ticketsys!C54=CONCATENATE("long","-","haul"," ","flights"),"YES","NO")</f>
        <v>NO</v>
      </c>
      <c r="D54">
        <f t="shared" si="0"/>
        <v>325</v>
      </c>
      <c r="E54">
        <f t="shared" si="1"/>
        <v>65</v>
      </c>
      <c r="F54">
        <f t="shared" si="2"/>
        <v>65</v>
      </c>
      <c r="G54">
        <f t="shared" si="3"/>
        <v>195</v>
      </c>
      <c r="H54" s="2">
        <f t="shared" si="5"/>
        <v>43045</v>
      </c>
      <c r="I54" s="26">
        <f t="shared" si="6"/>
        <v>1.9861111111111101</v>
      </c>
      <c r="K54" s="29">
        <f>Ticketsys!H54</f>
        <v>2.1111111111111098</v>
      </c>
      <c r="L54" t="s">
        <v>37</v>
      </c>
      <c r="M54" t="s">
        <v>49</v>
      </c>
      <c r="N54" s="1" t="str">
        <f t="shared" si="4"/>
        <v>short-haul flights</v>
      </c>
      <c r="O54" s="27">
        <f t="shared" si="7"/>
        <v>0.54166666666666685</v>
      </c>
      <c r="P54" t="s">
        <v>1614</v>
      </c>
      <c r="Q54">
        <f>Ticketsys!J54</f>
        <v>0</v>
      </c>
    </row>
    <row r="55" spans="1:17">
      <c r="A55" s="10" t="s">
        <v>27</v>
      </c>
      <c r="B55" t="s">
        <v>1416</v>
      </c>
      <c r="C55" t="str">
        <f>IF(Ticketsys!C55=CONCATENATE("long","-","haul"," ","flights"),"YES","NO")</f>
        <v>NO</v>
      </c>
      <c r="D55">
        <f t="shared" si="0"/>
        <v>325</v>
      </c>
      <c r="E55">
        <f t="shared" si="1"/>
        <v>65</v>
      </c>
      <c r="F55">
        <f t="shared" si="2"/>
        <v>65</v>
      </c>
      <c r="G55">
        <f t="shared" si="3"/>
        <v>195</v>
      </c>
      <c r="H55" s="2">
        <f t="shared" si="5"/>
        <v>43065</v>
      </c>
      <c r="I55" s="26">
        <f t="shared" si="6"/>
        <v>2.0243055555555545</v>
      </c>
      <c r="K55" s="29">
        <f>Ticketsys!H55</f>
        <v>2.1493055555555545</v>
      </c>
      <c r="L55" t="s">
        <v>37</v>
      </c>
      <c r="M55" t="s">
        <v>1606</v>
      </c>
      <c r="N55" s="1" t="str">
        <f t="shared" si="4"/>
        <v>short-haul flights</v>
      </c>
      <c r="O55" s="27">
        <f t="shared" si="7"/>
        <v>0.55208333333333348</v>
      </c>
      <c r="P55" t="s">
        <v>1614</v>
      </c>
      <c r="Q55">
        <f>Ticketsys!J55</f>
        <v>0</v>
      </c>
    </row>
    <row r="56" spans="1:17">
      <c r="A56" s="10" t="s">
        <v>28</v>
      </c>
      <c r="B56" t="s">
        <v>1417</v>
      </c>
      <c r="C56" t="str">
        <f>IF(Ticketsys!C56=CONCATENATE("long","-","haul"," ","flights"),"YES","NO")</f>
        <v>NO</v>
      </c>
      <c r="D56">
        <f t="shared" si="0"/>
        <v>325</v>
      </c>
      <c r="E56">
        <f t="shared" si="1"/>
        <v>65</v>
      </c>
      <c r="F56">
        <f t="shared" si="2"/>
        <v>65</v>
      </c>
      <c r="G56">
        <f t="shared" si="3"/>
        <v>195</v>
      </c>
      <c r="H56" s="2">
        <f t="shared" si="5"/>
        <v>43085</v>
      </c>
      <c r="I56" s="26">
        <f t="shared" si="6"/>
        <v>2.0624999999999991</v>
      </c>
      <c r="K56" s="29">
        <f>Ticketsys!H56</f>
        <v>2.1874999999999991</v>
      </c>
      <c r="L56" t="s">
        <v>37</v>
      </c>
      <c r="M56" t="s">
        <v>1605</v>
      </c>
      <c r="N56" s="1" t="str">
        <f t="shared" si="4"/>
        <v>short-haul flights</v>
      </c>
      <c r="O56" s="27">
        <f t="shared" si="7"/>
        <v>0.56250000000000011</v>
      </c>
      <c r="P56" t="s">
        <v>1614</v>
      </c>
      <c r="Q56">
        <f>Ticketsys!J56</f>
        <v>0</v>
      </c>
    </row>
    <row r="57" spans="1:17">
      <c r="A57" s="10" t="s">
        <v>29</v>
      </c>
      <c r="B57" t="s">
        <v>1418</v>
      </c>
      <c r="C57" t="str">
        <f>IF(Ticketsys!C57=CONCATENATE("long","-","haul"," ","flights"),"YES","NO")</f>
        <v>NO</v>
      </c>
      <c r="D57">
        <f t="shared" si="0"/>
        <v>325</v>
      </c>
      <c r="E57">
        <f t="shared" si="1"/>
        <v>65</v>
      </c>
      <c r="F57">
        <f t="shared" si="2"/>
        <v>65</v>
      </c>
      <c r="G57">
        <f t="shared" si="3"/>
        <v>195</v>
      </c>
      <c r="H57" s="2">
        <f t="shared" si="5"/>
        <v>43105</v>
      </c>
      <c r="I57" s="26">
        <f t="shared" si="6"/>
        <v>2.1006944444444438</v>
      </c>
      <c r="K57" s="29">
        <f>Ticketsys!H57</f>
        <v>2.2256944444444438</v>
      </c>
      <c r="L57" t="s">
        <v>37</v>
      </c>
      <c r="M57" t="s">
        <v>1608</v>
      </c>
      <c r="N57" s="1" t="str">
        <f t="shared" si="4"/>
        <v>short-haul flights</v>
      </c>
      <c r="O57" s="27">
        <f t="shared" si="7"/>
        <v>0.57291666666666674</v>
      </c>
      <c r="P57" t="s">
        <v>1614</v>
      </c>
      <c r="Q57">
        <f>Ticketsys!J57</f>
        <v>0</v>
      </c>
    </row>
    <row r="58" spans="1:17">
      <c r="A58" s="10" t="s">
        <v>30</v>
      </c>
      <c r="B58" t="s">
        <v>1419</v>
      </c>
      <c r="C58" t="str">
        <f>IF(Ticketsys!C58=CONCATENATE("long","-","haul"," ","flights"),"YES","NO")</f>
        <v>NO</v>
      </c>
      <c r="D58">
        <f t="shared" si="0"/>
        <v>325</v>
      </c>
      <c r="E58">
        <f t="shared" si="1"/>
        <v>65</v>
      </c>
      <c r="F58">
        <f t="shared" si="2"/>
        <v>65</v>
      </c>
      <c r="G58">
        <f t="shared" si="3"/>
        <v>195</v>
      </c>
      <c r="H58" s="2">
        <f t="shared" si="5"/>
        <v>43125</v>
      </c>
      <c r="I58" s="26">
        <f t="shared" si="6"/>
        <v>2.1388888888888884</v>
      </c>
      <c r="K58" s="29">
        <f>Ticketsys!H58</f>
        <v>2.2638888888888884</v>
      </c>
      <c r="L58" t="s">
        <v>37</v>
      </c>
      <c r="M58" t="s">
        <v>1607</v>
      </c>
      <c r="N58" s="1" t="str">
        <f t="shared" si="4"/>
        <v>short-haul flights</v>
      </c>
      <c r="O58" s="27">
        <f t="shared" si="7"/>
        <v>0.58333333333333337</v>
      </c>
      <c r="P58" t="s">
        <v>1614</v>
      </c>
      <c r="Q58">
        <f>Ticketsys!J58</f>
        <v>0</v>
      </c>
    </row>
    <row r="59" spans="1:17">
      <c r="A59" s="10" t="s">
        <v>31</v>
      </c>
      <c r="B59" t="s">
        <v>1420</v>
      </c>
      <c r="C59" t="str">
        <f>IF(Ticketsys!C59=CONCATENATE("long","-","haul"," ","flights"),"YES","NO")</f>
        <v>NO</v>
      </c>
      <c r="D59">
        <f t="shared" si="0"/>
        <v>325</v>
      </c>
      <c r="E59">
        <f t="shared" si="1"/>
        <v>65</v>
      </c>
      <c r="F59">
        <f t="shared" si="2"/>
        <v>65</v>
      </c>
      <c r="G59">
        <f t="shared" si="3"/>
        <v>195</v>
      </c>
      <c r="H59" s="2">
        <f t="shared" si="5"/>
        <v>43145</v>
      </c>
      <c r="I59" s="26">
        <f t="shared" si="6"/>
        <v>2.177083333333333</v>
      </c>
      <c r="K59" s="29">
        <f>Ticketsys!H59</f>
        <v>2.302083333333333</v>
      </c>
      <c r="L59" t="s">
        <v>37</v>
      </c>
      <c r="M59" t="s">
        <v>1591</v>
      </c>
      <c r="N59" s="1" t="str">
        <f t="shared" si="4"/>
        <v>short-haul flights</v>
      </c>
      <c r="O59" s="27">
        <f t="shared" si="7"/>
        <v>0.59375</v>
      </c>
      <c r="P59" t="s">
        <v>1612</v>
      </c>
      <c r="Q59">
        <f>Ticketsys!J59</f>
        <v>0</v>
      </c>
    </row>
    <row r="60" spans="1:17">
      <c r="A60" s="10" t="s">
        <v>32</v>
      </c>
      <c r="B60" t="s">
        <v>1421</v>
      </c>
      <c r="C60" t="str">
        <f>IF(Ticketsys!C60=CONCATENATE("long","-","haul"," ","flights"),"YES","NO")</f>
        <v>NO</v>
      </c>
      <c r="D60">
        <f t="shared" si="0"/>
        <v>325</v>
      </c>
      <c r="E60">
        <f t="shared" si="1"/>
        <v>65</v>
      </c>
      <c r="F60">
        <f t="shared" si="2"/>
        <v>65</v>
      </c>
      <c r="G60">
        <f t="shared" si="3"/>
        <v>195</v>
      </c>
      <c r="H60" s="2">
        <f t="shared" si="5"/>
        <v>43165</v>
      </c>
      <c r="I60" s="26">
        <f t="shared" si="6"/>
        <v>2.2152777777777777</v>
      </c>
      <c r="K60" s="29">
        <f>Ticketsys!H60</f>
        <v>2.3402777777777777</v>
      </c>
      <c r="L60" t="s">
        <v>37</v>
      </c>
      <c r="M60" t="s">
        <v>1593</v>
      </c>
      <c r="N60" s="1" t="str">
        <f t="shared" si="4"/>
        <v>short-haul flights</v>
      </c>
      <c r="O60" s="27">
        <f t="shared" si="7"/>
        <v>0.60416666666666663</v>
      </c>
      <c r="P60" t="s">
        <v>1614</v>
      </c>
      <c r="Q60">
        <f>Ticketsys!J60</f>
        <v>0</v>
      </c>
    </row>
    <row r="61" spans="1:17">
      <c r="A61" s="10" t="s">
        <v>33</v>
      </c>
      <c r="B61" t="s">
        <v>1422</v>
      </c>
      <c r="C61" t="str">
        <f>IF(Ticketsys!C61=CONCATENATE("long","-","haul"," ","flights"),"YES","NO")</f>
        <v>NO</v>
      </c>
      <c r="D61">
        <f t="shared" si="0"/>
        <v>325</v>
      </c>
      <c r="E61">
        <f t="shared" si="1"/>
        <v>65</v>
      </c>
      <c r="F61">
        <f t="shared" si="2"/>
        <v>65</v>
      </c>
      <c r="G61">
        <f t="shared" si="3"/>
        <v>195</v>
      </c>
      <c r="H61" s="2">
        <f t="shared" si="5"/>
        <v>43185</v>
      </c>
      <c r="I61" s="26">
        <f t="shared" si="6"/>
        <v>2.2534722222222223</v>
      </c>
      <c r="K61" s="29">
        <f>Ticketsys!H61</f>
        <v>2.3784722222222223</v>
      </c>
      <c r="L61" t="s">
        <v>37</v>
      </c>
      <c r="M61" t="s">
        <v>1573</v>
      </c>
      <c r="N61" s="1" t="str">
        <f t="shared" si="4"/>
        <v>short-haul flights</v>
      </c>
      <c r="O61" s="27">
        <f t="shared" si="7"/>
        <v>0.61458333333333326</v>
      </c>
      <c r="P61" t="s">
        <v>1612</v>
      </c>
      <c r="Q61">
        <f>Ticketsys!J61</f>
        <v>0</v>
      </c>
    </row>
    <row r="62" spans="1:17">
      <c r="A62" t="s">
        <v>1213</v>
      </c>
      <c r="B62" t="s">
        <v>1423</v>
      </c>
      <c r="C62" t="str">
        <f>IF(Ticketsys!C62=CONCATENATE("long","-","haul"," ","flights"),"YES","NO")</f>
        <v>NO</v>
      </c>
      <c r="D62">
        <f t="shared" si="0"/>
        <v>325</v>
      </c>
      <c r="E62">
        <f t="shared" si="1"/>
        <v>65</v>
      </c>
      <c r="F62">
        <f t="shared" si="2"/>
        <v>65</v>
      </c>
      <c r="G62">
        <f t="shared" si="3"/>
        <v>195</v>
      </c>
      <c r="H62" s="2">
        <f t="shared" si="5"/>
        <v>43205</v>
      </c>
      <c r="I62" s="26">
        <f t="shared" si="6"/>
        <v>2.291666666666667</v>
      </c>
      <c r="K62" s="29">
        <f>Ticketsys!H62</f>
        <v>2.5833333333333335</v>
      </c>
      <c r="L62" t="s">
        <v>37</v>
      </c>
      <c r="M62" t="s">
        <v>1893</v>
      </c>
      <c r="N62" s="1" t="str">
        <f>CONCATENATE("middle","-","haul"," ","flights")</f>
        <v>middle-haul flights</v>
      </c>
      <c r="O62" s="27">
        <f t="shared" si="7"/>
        <v>0.62499999999999989</v>
      </c>
      <c r="P62" t="s">
        <v>1612</v>
      </c>
      <c r="Q62">
        <f>Ticketsys!J62</f>
        <v>1</v>
      </c>
    </row>
    <row r="63" spans="1:17">
      <c r="A63" t="s">
        <v>1214</v>
      </c>
      <c r="B63" t="s">
        <v>1424</v>
      </c>
      <c r="C63" t="str">
        <f>IF(Ticketsys!C63=CONCATENATE("long","-","haul"," ","flights"),"YES","NO")</f>
        <v>NO</v>
      </c>
      <c r="D63">
        <f t="shared" si="0"/>
        <v>325</v>
      </c>
      <c r="E63">
        <f t="shared" si="1"/>
        <v>65</v>
      </c>
      <c r="F63">
        <f t="shared" si="2"/>
        <v>65</v>
      </c>
      <c r="G63">
        <f t="shared" si="3"/>
        <v>195</v>
      </c>
      <c r="H63" s="2">
        <f t="shared" si="5"/>
        <v>43225</v>
      </c>
      <c r="I63" s="26">
        <f t="shared" si="6"/>
        <v>2.3298611111111116</v>
      </c>
      <c r="K63" s="29">
        <f>Ticketsys!H63</f>
        <v>2.6215277777777781</v>
      </c>
      <c r="L63" t="s">
        <v>37</v>
      </c>
      <c r="M63" t="s">
        <v>1625</v>
      </c>
      <c r="N63" s="1" t="str">
        <f t="shared" ref="N63:N126" si="8">CONCATENATE("middle","-","haul"," ","flights")</f>
        <v>middle-haul flights</v>
      </c>
      <c r="O63" s="27">
        <f t="shared" si="7"/>
        <v>0.63541666666666652</v>
      </c>
      <c r="P63" t="s">
        <v>1614</v>
      </c>
      <c r="Q63">
        <f>Ticketsys!J63</f>
        <v>1</v>
      </c>
    </row>
    <row r="64" spans="1:17">
      <c r="A64" t="s">
        <v>1215</v>
      </c>
      <c r="B64" t="s">
        <v>1425</v>
      </c>
      <c r="C64" t="str">
        <f>IF(Ticketsys!C64=CONCATENATE("long","-","haul"," ","flights"),"YES","NO")</f>
        <v>NO</v>
      </c>
      <c r="D64">
        <f t="shared" si="0"/>
        <v>325</v>
      </c>
      <c r="E64">
        <f t="shared" si="1"/>
        <v>65</v>
      </c>
      <c r="F64">
        <f t="shared" si="2"/>
        <v>65</v>
      </c>
      <c r="G64">
        <f t="shared" si="3"/>
        <v>195</v>
      </c>
      <c r="H64" s="2">
        <f t="shared" si="5"/>
        <v>43245</v>
      </c>
      <c r="I64" s="26">
        <f t="shared" si="6"/>
        <v>2.3680555555555562</v>
      </c>
      <c r="K64" s="29">
        <f>Ticketsys!H64</f>
        <v>2.6597222222222228</v>
      </c>
      <c r="L64" t="s">
        <v>37</v>
      </c>
      <c r="M64" t="s">
        <v>1631</v>
      </c>
      <c r="N64" s="1" t="str">
        <f t="shared" si="8"/>
        <v>middle-haul flights</v>
      </c>
      <c r="O64" s="27">
        <f t="shared" si="7"/>
        <v>0.64583333333333315</v>
      </c>
      <c r="P64" t="s">
        <v>1613</v>
      </c>
      <c r="Q64">
        <f>Ticketsys!J64</f>
        <v>1</v>
      </c>
    </row>
    <row r="65" spans="1:17">
      <c r="A65" t="s">
        <v>1216</v>
      </c>
      <c r="B65" t="s">
        <v>1426</v>
      </c>
      <c r="C65" t="str">
        <f>IF(Ticketsys!C65=CONCATENATE("long","-","haul"," ","flights"),"YES","NO")</f>
        <v>NO</v>
      </c>
      <c r="D65">
        <f t="shared" si="0"/>
        <v>325</v>
      </c>
      <c r="E65">
        <f t="shared" si="1"/>
        <v>65</v>
      </c>
      <c r="F65">
        <f t="shared" si="2"/>
        <v>65</v>
      </c>
      <c r="G65">
        <f t="shared" si="3"/>
        <v>195</v>
      </c>
      <c r="H65" s="2">
        <f t="shared" si="5"/>
        <v>43265</v>
      </c>
      <c r="I65" s="26">
        <f t="shared" si="6"/>
        <v>2.4062500000000009</v>
      </c>
      <c r="K65" s="29">
        <f>Ticketsys!H65</f>
        <v>2.6979166666666674</v>
      </c>
      <c r="L65" t="s">
        <v>37</v>
      </c>
      <c r="M65" t="s">
        <v>1892</v>
      </c>
      <c r="N65" s="1" t="str">
        <f t="shared" si="8"/>
        <v>middle-haul flights</v>
      </c>
      <c r="O65" s="27">
        <f t="shared" si="7"/>
        <v>0.65624999999999978</v>
      </c>
      <c r="P65" t="s">
        <v>1612</v>
      </c>
      <c r="Q65">
        <f>Ticketsys!J65</f>
        <v>1</v>
      </c>
    </row>
    <row r="66" spans="1:17">
      <c r="A66" t="s">
        <v>1217</v>
      </c>
      <c r="B66" t="s">
        <v>1427</v>
      </c>
      <c r="C66" t="str">
        <f>IF(Ticketsys!C66=CONCATENATE("long","-","haul"," ","flights"),"YES","NO")</f>
        <v>NO</v>
      </c>
      <c r="D66">
        <f t="shared" si="0"/>
        <v>325</v>
      </c>
      <c r="E66">
        <f t="shared" si="1"/>
        <v>65</v>
      </c>
      <c r="F66">
        <f t="shared" si="2"/>
        <v>65</v>
      </c>
      <c r="G66">
        <f t="shared" si="3"/>
        <v>195</v>
      </c>
      <c r="H66" s="2">
        <f t="shared" si="5"/>
        <v>43285</v>
      </c>
      <c r="I66" s="26">
        <f t="shared" si="6"/>
        <v>2.4444444444444455</v>
      </c>
      <c r="K66" s="29">
        <f>Ticketsys!H66</f>
        <v>2.736111111111112</v>
      </c>
      <c r="L66" t="s">
        <v>37</v>
      </c>
      <c r="M66" t="s">
        <v>1891</v>
      </c>
      <c r="N66" s="1" t="str">
        <f t="shared" si="8"/>
        <v>middle-haul flights</v>
      </c>
      <c r="O66" s="27">
        <f t="shared" si="7"/>
        <v>0.66666666666666641</v>
      </c>
      <c r="P66" t="s">
        <v>1613</v>
      </c>
      <c r="Q66">
        <f>Ticketsys!J66</f>
        <v>1</v>
      </c>
    </row>
    <row r="67" spans="1:17">
      <c r="A67" t="s">
        <v>1218</v>
      </c>
      <c r="B67" t="s">
        <v>1428</v>
      </c>
      <c r="C67" t="str">
        <f>IF(Ticketsys!C67=CONCATENATE("long","-","haul"," ","flights"),"YES","NO")</f>
        <v>NO</v>
      </c>
      <c r="D67">
        <f t="shared" ref="D67:D130" si="9">IF(B67=CONCATENATE("Airbus","A220"),135,(IF(B67=CONCATENATE("Airbus","A320"),150,325)))</f>
        <v>325</v>
      </c>
      <c r="E67">
        <f t="shared" ref="E67:E130" si="10">D67*(20/100)</f>
        <v>65</v>
      </c>
      <c r="F67">
        <f t="shared" ref="F67:F130" si="11">D67*(20/100)</f>
        <v>65</v>
      </c>
      <c r="G67">
        <f t="shared" ref="G67:G130" si="12">D67*(60/100)</f>
        <v>195</v>
      </c>
      <c r="H67" s="2">
        <f t="shared" si="5"/>
        <v>43305</v>
      </c>
      <c r="I67" s="26">
        <f t="shared" si="6"/>
        <v>2.4826388888888902</v>
      </c>
      <c r="K67" s="29">
        <f>Ticketsys!H67</f>
        <v>2.7743055555555567</v>
      </c>
      <c r="L67" t="s">
        <v>37</v>
      </c>
      <c r="M67" t="s">
        <v>1890</v>
      </c>
      <c r="N67" s="1" t="str">
        <f t="shared" si="8"/>
        <v>middle-haul flights</v>
      </c>
      <c r="O67" s="27">
        <f t="shared" si="7"/>
        <v>0.67708333333333304</v>
      </c>
      <c r="P67" t="s">
        <v>1612</v>
      </c>
      <c r="Q67">
        <f>Ticketsys!J67</f>
        <v>1</v>
      </c>
    </row>
    <row r="68" spans="1:17">
      <c r="A68" t="s">
        <v>1219</v>
      </c>
      <c r="B68" t="s">
        <v>1429</v>
      </c>
      <c r="C68" t="str">
        <f>IF(Ticketsys!C68=CONCATENATE("long","-","haul"," ","flights"),"YES","NO")</f>
        <v>NO</v>
      </c>
      <c r="D68">
        <f t="shared" si="9"/>
        <v>325</v>
      </c>
      <c r="E68">
        <f t="shared" si="10"/>
        <v>65</v>
      </c>
      <c r="F68">
        <f t="shared" si="11"/>
        <v>65</v>
      </c>
      <c r="G68">
        <f t="shared" si="12"/>
        <v>195</v>
      </c>
      <c r="H68" s="2">
        <f t="shared" ref="H68:H94" si="13">H67+20</f>
        <v>43325</v>
      </c>
      <c r="I68" s="26">
        <f t="shared" ref="I68:I131" si="14">I67+"00:55:00"</f>
        <v>2.5208333333333348</v>
      </c>
      <c r="K68" s="29">
        <f>Ticketsys!H68</f>
        <v>2.8125000000000013</v>
      </c>
      <c r="L68" t="s">
        <v>37</v>
      </c>
      <c r="M68" t="s">
        <v>1889</v>
      </c>
      <c r="N68" s="1" t="str">
        <f t="shared" si="8"/>
        <v>middle-haul flights</v>
      </c>
      <c r="O68" s="27">
        <f t="shared" ref="O68:O131" si="15">O67+"00:15:00"</f>
        <v>0.68749999999999967</v>
      </c>
      <c r="P68" t="s">
        <v>1614</v>
      </c>
      <c r="Q68">
        <f>Ticketsys!J68</f>
        <v>1</v>
      </c>
    </row>
    <row r="69" spans="1:17">
      <c r="A69" t="s">
        <v>1220</v>
      </c>
      <c r="B69" t="s">
        <v>1430</v>
      </c>
      <c r="C69" t="str">
        <f>IF(Ticketsys!C69=CONCATENATE("long","-","haul"," ","flights"),"YES","NO")</f>
        <v>NO</v>
      </c>
      <c r="D69">
        <f t="shared" si="9"/>
        <v>325</v>
      </c>
      <c r="E69">
        <f t="shared" si="10"/>
        <v>65</v>
      </c>
      <c r="F69">
        <f t="shared" si="11"/>
        <v>65</v>
      </c>
      <c r="G69">
        <f t="shared" si="12"/>
        <v>195</v>
      </c>
      <c r="H69" s="2">
        <f t="shared" si="13"/>
        <v>43345</v>
      </c>
      <c r="I69" s="26">
        <f t="shared" si="14"/>
        <v>2.5590277777777795</v>
      </c>
      <c r="K69" s="29">
        <f>Ticketsys!H69</f>
        <v>2.850694444444446</v>
      </c>
      <c r="L69" t="s">
        <v>37</v>
      </c>
      <c r="M69" t="s">
        <v>1656</v>
      </c>
      <c r="N69" s="1" t="str">
        <f t="shared" si="8"/>
        <v>middle-haul flights</v>
      </c>
      <c r="O69" s="27">
        <f t="shared" si="15"/>
        <v>0.6979166666666663</v>
      </c>
      <c r="P69" t="s">
        <v>1614</v>
      </c>
      <c r="Q69">
        <f>Ticketsys!J69</f>
        <v>1</v>
      </c>
    </row>
    <row r="70" spans="1:17">
      <c r="A70" t="s">
        <v>1221</v>
      </c>
      <c r="B70" t="s">
        <v>1431</v>
      </c>
      <c r="C70" t="str">
        <f>IF(Ticketsys!C70=CONCATENATE("long","-","haul"," ","flights"),"YES","NO")</f>
        <v>NO</v>
      </c>
      <c r="D70">
        <f t="shared" si="9"/>
        <v>325</v>
      </c>
      <c r="E70">
        <f t="shared" si="10"/>
        <v>65</v>
      </c>
      <c r="F70">
        <f t="shared" si="11"/>
        <v>65</v>
      </c>
      <c r="G70">
        <f t="shared" si="12"/>
        <v>195</v>
      </c>
      <c r="H70" s="2">
        <f t="shared" si="13"/>
        <v>43365</v>
      </c>
      <c r="I70" s="26">
        <f t="shared" si="14"/>
        <v>2.5972222222222241</v>
      </c>
      <c r="K70" s="29">
        <f>Ticketsys!H70</f>
        <v>2.8888888888888906</v>
      </c>
      <c r="L70" t="s">
        <v>37</v>
      </c>
      <c r="M70" t="s">
        <v>1662</v>
      </c>
      <c r="N70" s="1" t="str">
        <f t="shared" si="8"/>
        <v>middle-haul flights</v>
      </c>
      <c r="O70" s="27">
        <f t="shared" si="15"/>
        <v>0.70833333333333293</v>
      </c>
      <c r="P70" t="s">
        <v>1614</v>
      </c>
      <c r="Q70">
        <f>Ticketsys!J70</f>
        <v>1</v>
      </c>
    </row>
    <row r="71" spans="1:17">
      <c r="A71" t="s">
        <v>1222</v>
      </c>
      <c r="B71" t="s">
        <v>1432</v>
      </c>
      <c r="C71" t="str">
        <f>IF(Ticketsys!C71=CONCATENATE("long","-","haul"," ","flights"),"YES","NO")</f>
        <v>NO</v>
      </c>
      <c r="D71">
        <f t="shared" si="9"/>
        <v>325</v>
      </c>
      <c r="E71">
        <f t="shared" si="10"/>
        <v>65</v>
      </c>
      <c r="F71">
        <f t="shared" si="11"/>
        <v>65</v>
      </c>
      <c r="G71">
        <f t="shared" si="12"/>
        <v>195</v>
      </c>
      <c r="H71" s="2">
        <f t="shared" si="13"/>
        <v>43385</v>
      </c>
      <c r="I71" s="26">
        <f t="shared" si="14"/>
        <v>2.6354166666666687</v>
      </c>
      <c r="K71" s="29">
        <f>Ticketsys!H71</f>
        <v>2.9270833333333353</v>
      </c>
      <c r="L71" t="s">
        <v>37</v>
      </c>
      <c r="M71" t="s">
        <v>1667</v>
      </c>
      <c r="N71" s="1" t="str">
        <f t="shared" si="8"/>
        <v>middle-haul flights</v>
      </c>
      <c r="O71" s="27">
        <f t="shared" si="15"/>
        <v>0.71874999999999956</v>
      </c>
      <c r="P71" t="s">
        <v>1614</v>
      </c>
      <c r="Q71">
        <f>Ticketsys!J71</f>
        <v>1</v>
      </c>
    </row>
    <row r="72" spans="1:17">
      <c r="A72" t="s">
        <v>1223</v>
      </c>
      <c r="B72" t="s">
        <v>1433</v>
      </c>
      <c r="C72" t="str">
        <f>IF(Ticketsys!C72=CONCATENATE("long","-","haul"," ","flights"),"YES","NO")</f>
        <v>NO</v>
      </c>
      <c r="D72">
        <f t="shared" si="9"/>
        <v>325</v>
      </c>
      <c r="E72">
        <f t="shared" si="10"/>
        <v>65</v>
      </c>
      <c r="F72">
        <f t="shared" si="11"/>
        <v>65</v>
      </c>
      <c r="G72">
        <f t="shared" si="12"/>
        <v>195</v>
      </c>
      <c r="H72" s="2">
        <f t="shared" si="13"/>
        <v>43405</v>
      </c>
      <c r="I72" s="26">
        <f t="shared" si="14"/>
        <v>2.6736111111111134</v>
      </c>
      <c r="K72" s="29">
        <f>Ticketsys!H72</f>
        <v>2.9652777777777799</v>
      </c>
      <c r="L72" t="s">
        <v>37</v>
      </c>
      <c r="M72" t="s">
        <v>1672</v>
      </c>
      <c r="N72" s="1" t="str">
        <f t="shared" si="8"/>
        <v>middle-haul flights</v>
      </c>
      <c r="O72" s="27">
        <f t="shared" si="15"/>
        <v>0.72916666666666619</v>
      </c>
      <c r="P72" t="s">
        <v>1614</v>
      </c>
      <c r="Q72">
        <f>Ticketsys!J72</f>
        <v>1</v>
      </c>
    </row>
    <row r="73" spans="1:17">
      <c r="A73" t="s">
        <v>1224</v>
      </c>
      <c r="B73" t="s">
        <v>1434</v>
      </c>
      <c r="C73" t="str">
        <f>IF(Ticketsys!C73=CONCATENATE("long","-","haul"," ","flights"),"YES","NO")</f>
        <v>NO</v>
      </c>
      <c r="D73">
        <f t="shared" si="9"/>
        <v>325</v>
      </c>
      <c r="E73">
        <f t="shared" si="10"/>
        <v>65</v>
      </c>
      <c r="F73">
        <f t="shared" si="11"/>
        <v>65</v>
      </c>
      <c r="G73">
        <f t="shared" si="12"/>
        <v>195</v>
      </c>
      <c r="H73" s="2">
        <f t="shared" si="13"/>
        <v>43425</v>
      </c>
      <c r="I73" s="26">
        <f t="shared" si="14"/>
        <v>2.711805555555558</v>
      </c>
      <c r="K73" s="29">
        <f>Ticketsys!H73</f>
        <v>3.0034722222222245</v>
      </c>
      <c r="L73" t="s">
        <v>37</v>
      </c>
      <c r="M73" t="s">
        <v>1678</v>
      </c>
      <c r="N73" s="1" t="str">
        <f t="shared" si="8"/>
        <v>middle-haul flights</v>
      </c>
      <c r="O73" s="27">
        <f t="shared" si="15"/>
        <v>0.73958333333333282</v>
      </c>
      <c r="P73" t="s">
        <v>1612</v>
      </c>
      <c r="Q73">
        <f>Ticketsys!J73</f>
        <v>1</v>
      </c>
    </row>
    <row r="74" spans="1:17">
      <c r="A74" t="s">
        <v>1225</v>
      </c>
      <c r="B74" t="s">
        <v>1435</v>
      </c>
      <c r="C74" t="str">
        <f>IF(Ticketsys!C74=CONCATENATE("long","-","haul"," ","flights"),"YES","NO")</f>
        <v>NO</v>
      </c>
      <c r="D74">
        <f t="shared" si="9"/>
        <v>325</v>
      </c>
      <c r="E74">
        <f t="shared" si="10"/>
        <v>65</v>
      </c>
      <c r="F74">
        <f t="shared" si="11"/>
        <v>65</v>
      </c>
      <c r="G74">
        <f t="shared" si="12"/>
        <v>195</v>
      </c>
      <c r="H74" s="2">
        <f t="shared" si="13"/>
        <v>43445</v>
      </c>
      <c r="I74" s="26">
        <f t="shared" si="14"/>
        <v>2.7500000000000027</v>
      </c>
      <c r="K74" s="29">
        <f>Ticketsys!H74</f>
        <v>3.0416666666666692</v>
      </c>
      <c r="L74" t="s">
        <v>37</v>
      </c>
      <c r="M74" t="s">
        <v>1888</v>
      </c>
      <c r="N74" s="1" t="str">
        <f t="shared" si="8"/>
        <v>middle-haul flights</v>
      </c>
      <c r="O74" s="27">
        <f t="shared" si="15"/>
        <v>0.74999999999999944</v>
      </c>
      <c r="P74" t="s">
        <v>1614</v>
      </c>
      <c r="Q74">
        <f>Ticketsys!J74</f>
        <v>1</v>
      </c>
    </row>
    <row r="75" spans="1:17">
      <c r="A75" t="s">
        <v>1226</v>
      </c>
      <c r="B75" t="s">
        <v>1436</v>
      </c>
      <c r="C75" t="str">
        <f>IF(Ticketsys!C75=CONCATENATE("long","-","haul"," ","flights"),"YES","NO")</f>
        <v>NO</v>
      </c>
      <c r="D75">
        <f t="shared" si="9"/>
        <v>325</v>
      </c>
      <c r="E75">
        <f t="shared" si="10"/>
        <v>65</v>
      </c>
      <c r="F75">
        <f t="shared" si="11"/>
        <v>65</v>
      </c>
      <c r="G75">
        <f t="shared" si="12"/>
        <v>195</v>
      </c>
      <c r="H75" s="2">
        <f t="shared" si="13"/>
        <v>43465</v>
      </c>
      <c r="I75" s="26">
        <f t="shared" si="14"/>
        <v>2.7881944444444473</v>
      </c>
      <c r="K75" s="29">
        <f>Ticketsys!H75</f>
        <v>3.0798611111111138</v>
      </c>
      <c r="L75" t="s">
        <v>37</v>
      </c>
      <c r="M75" t="s">
        <v>1887</v>
      </c>
      <c r="N75" s="1" t="str">
        <f t="shared" si="8"/>
        <v>middle-haul flights</v>
      </c>
      <c r="O75" s="27">
        <f t="shared" si="15"/>
        <v>0.76041666666666607</v>
      </c>
      <c r="P75" t="s">
        <v>1612</v>
      </c>
      <c r="Q75">
        <f>Ticketsys!J75</f>
        <v>1</v>
      </c>
    </row>
    <row r="76" spans="1:17">
      <c r="A76" t="s">
        <v>1227</v>
      </c>
      <c r="B76" t="s">
        <v>1437</v>
      </c>
      <c r="C76" t="str">
        <f>IF(Ticketsys!C76=CONCATENATE("long","-","haul"," ","flights"),"YES","NO")</f>
        <v>NO</v>
      </c>
      <c r="D76">
        <f t="shared" si="9"/>
        <v>325</v>
      </c>
      <c r="E76">
        <f t="shared" si="10"/>
        <v>65</v>
      </c>
      <c r="F76">
        <f t="shared" si="11"/>
        <v>65</v>
      </c>
      <c r="G76">
        <f t="shared" si="12"/>
        <v>195</v>
      </c>
      <c r="H76" s="2">
        <f t="shared" si="13"/>
        <v>43485</v>
      </c>
      <c r="I76" s="26">
        <f t="shared" si="14"/>
        <v>2.8263888888888919</v>
      </c>
      <c r="K76" s="29">
        <f>Ticketsys!H76</f>
        <v>3.1180555555555585</v>
      </c>
      <c r="L76" t="s">
        <v>37</v>
      </c>
      <c r="M76" t="s">
        <v>1693</v>
      </c>
      <c r="N76" s="1" t="str">
        <f t="shared" si="8"/>
        <v>middle-haul flights</v>
      </c>
      <c r="O76" s="27">
        <f t="shared" si="15"/>
        <v>0.7708333333333327</v>
      </c>
      <c r="P76" t="s">
        <v>1612</v>
      </c>
      <c r="Q76">
        <f>Ticketsys!J76</f>
        <v>1</v>
      </c>
    </row>
    <row r="77" spans="1:17">
      <c r="A77" t="s">
        <v>1228</v>
      </c>
      <c r="B77" t="s">
        <v>1438</v>
      </c>
      <c r="C77" t="str">
        <f>IF(Ticketsys!C77=CONCATENATE("long","-","haul"," ","flights"),"YES","NO")</f>
        <v>NO</v>
      </c>
      <c r="D77">
        <f t="shared" si="9"/>
        <v>325</v>
      </c>
      <c r="E77">
        <f t="shared" si="10"/>
        <v>65</v>
      </c>
      <c r="F77">
        <f t="shared" si="11"/>
        <v>65</v>
      </c>
      <c r="G77">
        <f t="shared" si="12"/>
        <v>195</v>
      </c>
      <c r="H77" s="2">
        <f t="shared" si="13"/>
        <v>43505</v>
      </c>
      <c r="I77" s="26">
        <f t="shared" si="14"/>
        <v>2.8645833333333366</v>
      </c>
      <c r="K77" s="29">
        <f>Ticketsys!H77</f>
        <v>3.1562500000000031</v>
      </c>
      <c r="L77" t="s">
        <v>37</v>
      </c>
      <c r="M77" t="s">
        <v>1886</v>
      </c>
      <c r="N77" s="1" t="str">
        <f t="shared" si="8"/>
        <v>middle-haul flights</v>
      </c>
      <c r="O77" s="27">
        <f t="shared" si="15"/>
        <v>0.78124999999999933</v>
      </c>
      <c r="P77" t="s">
        <v>1614</v>
      </c>
      <c r="Q77">
        <f>Ticketsys!J77</f>
        <v>1</v>
      </c>
    </row>
    <row r="78" spans="1:17">
      <c r="A78" t="s">
        <v>1229</v>
      </c>
      <c r="B78" t="s">
        <v>1439</v>
      </c>
      <c r="C78" t="str">
        <f>IF(Ticketsys!C78=CONCATENATE("long","-","haul"," ","flights"),"YES","NO")</f>
        <v>NO</v>
      </c>
      <c r="D78">
        <f t="shared" si="9"/>
        <v>325</v>
      </c>
      <c r="E78">
        <f t="shared" si="10"/>
        <v>65</v>
      </c>
      <c r="F78">
        <f t="shared" si="11"/>
        <v>65</v>
      </c>
      <c r="G78">
        <f t="shared" si="12"/>
        <v>195</v>
      </c>
      <c r="H78" s="2">
        <f t="shared" si="13"/>
        <v>43525</v>
      </c>
      <c r="I78" s="26">
        <f t="shared" si="14"/>
        <v>2.9027777777777812</v>
      </c>
      <c r="K78" s="29">
        <f>Ticketsys!H78</f>
        <v>3.1944444444444478</v>
      </c>
      <c r="L78" t="s">
        <v>37</v>
      </c>
      <c r="M78" t="s">
        <v>1885</v>
      </c>
      <c r="N78" s="1" t="str">
        <f t="shared" si="8"/>
        <v>middle-haul flights</v>
      </c>
      <c r="O78" s="27">
        <f t="shared" si="15"/>
        <v>0.79166666666666596</v>
      </c>
      <c r="P78" t="s">
        <v>1614</v>
      </c>
      <c r="Q78">
        <f>Ticketsys!J78</f>
        <v>1</v>
      </c>
    </row>
    <row r="79" spans="1:17">
      <c r="A79" t="s">
        <v>1230</v>
      </c>
      <c r="B79" t="s">
        <v>1440</v>
      </c>
      <c r="C79" t="str">
        <f>IF(Ticketsys!C79=CONCATENATE("long","-","haul"," ","flights"),"YES","NO")</f>
        <v>NO</v>
      </c>
      <c r="D79">
        <f t="shared" si="9"/>
        <v>325</v>
      </c>
      <c r="E79">
        <f t="shared" si="10"/>
        <v>65</v>
      </c>
      <c r="F79">
        <f t="shared" si="11"/>
        <v>65</v>
      </c>
      <c r="G79">
        <f t="shared" si="12"/>
        <v>195</v>
      </c>
      <c r="H79" s="2">
        <f t="shared" si="13"/>
        <v>43545</v>
      </c>
      <c r="I79" s="26">
        <f t="shared" si="14"/>
        <v>2.9409722222222259</v>
      </c>
      <c r="K79" s="29">
        <f>Ticketsys!H79</f>
        <v>3.2326388888888924</v>
      </c>
      <c r="L79" t="s">
        <v>37</v>
      </c>
      <c r="M79" t="s">
        <v>1884</v>
      </c>
      <c r="N79" s="1" t="str">
        <f t="shared" si="8"/>
        <v>middle-haul flights</v>
      </c>
      <c r="O79" s="27">
        <f t="shared" si="15"/>
        <v>0.80208333333333259</v>
      </c>
      <c r="P79" t="s">
        <v>1614</v>
      </c>
      <c r="Q79">
        <f>Ticketsys!J79</f>
        <v>1</v>
      </c>
    </row>
    <row r="80" spans="1:17">
      <c r="A80" t="s">
        <v>1231</v>
      </c>
      <c r="B80" t="s">
        <v>1441</v>
      </c>
      <c r="C80" t="str">
        <f>IF(Ticketsys!C80=CONCATENATE("long","-","haul"," ","flights"),"YES","NO")</f>
        <v>NO</v>
      </c>
      <c r="D80">
        <f t="shared" si="9"/>
        <v>325</v>
      </c>
      <c r="E80">
        <f t="shared" si="10"/>
        <v>65</v>
      </c>
      <c r="F80">
        <f t="shared" si="11"/>
        <v>65</v>
      </c>
      <c r="G80">
        <f t="shared" si="12"/>
        <v>195</v>
      </c>
      <c r="H80" s="2">
        <f t="shared" si="13"/>
        <v>43565</v>
      </c>
      <c r="I80" s="26">
        <f t="shared" si="14"/>
        <v>2.9791666666666705</v>
      </c>
      <c r="K80" s="29">
        <f>Ticketsys!H80</f>
        <v>3.270833333333337</v>
      </c>
      <c r="L80" t="s">
        <v>37</v>
      </c>
      <c r="M80" t="s">
        <v>1712</v>
      </c>
      <c r="N80" s="1" t="str">
        <f t="shared" si="8"/>
        <v>middle-haul flights</v>
      </c>
      <c r="O80" s="27">
        <f t="shared" si="15"/>
        <v>0.81249999999999922</v>
      </c>
      <c r="P80" t="s">
        <v>1612</v>
      </c>
      <c r="Q80">
        <f>Ticketsys!J80</f>
        <v>1</v>
      </c>
    </row>
    <row r="81" spans="1:17">
      <c r="A81" t="s">
        <v>1232</v>
      </c>
      <c r="B81" t="s">
        <v>1442</v>
      </c>
      <c r="C81" t="str">
        <f>IF(Ticketsys!C81=CONCATENATE("long","-","haul"," ","flights"),"YES","NO")</f>
        <v>NO</v>
      </c>
      <c r="D81">
        <f t="shared" si="9"/>
        <v>325</v>
      </c>
      <c r="E81">
        <f t="shared" si="10"/>
        <v>65</v>
      </c>
      <c r="F81">
        <f t="shared" si="11"/>
        <v>65</v>
      </c>
      <c r="G81">
        <f t="shared" si="12"/>
        <v>195</v>
      </c>
      <c r="H81" s="2">
        <f t="shared" si="13"/>
        <v>43585</v>
      </c>
      <c r="I81" s="26">
        <f t="shared" si="14"/>
        <v>3.0173611111111152</v>
      </c>
      <c r="K81" s="29">
        <f>Ticketsys!H81</f>
        <v>3.3090277777777817</v>
      </c>
      <c r="L81" t="s">
        <v>37</v>
      </c>
      <c r="M81" t="s">
        <v>1717</v>
      </c>
      <c r="N81" s="1" t="str">
        <f t="shared" si="8"/>
        <v>middle-haul flights</v>
      </c>
      <c r="O81" s="27">
        <f t="shared" si="15"/>
        <v>0.82291666666666585</v>
      </c>
      <c r="P81" t="s">
        <v>1613</v>
      </c>
      <c r="Q81">
        <f>Ticketsys!J81</f>
        <v>1</v>
      </c>
    </row>
    <row r="82" spans="1:17">
      <c r="A82" t="s">
        <v>1233</v>
      </c>
      <c r="B82" t="s">
        <v>1443</v>
      </c>
      <c r="C82" t="str">
        <f>IF(Ticketsys!C82=CONCATENATE("long","-","haul"," ","flights"),"YES","NO")</f>
        <v>NO</v>
      </c>
      <c r="D82">
        <f t="shared" si="9"/>
        <v>325</v>
      </c>
      <c r="E82">
        <f t="shared" si="10"/>
        <v>65</v>
      </c>
      <c r="F82">
        <f t="shared" si="11"/>
        <v>65</v>
      </c>
      <c r="G82">
        <f t="shared" si="12"/>
        <v>195</v>
      </c>
      <c r="H82" s="2">
        <f t="shared" si="13"/>
        <v>43605</v>
      </c>
      <c r="I82" s="26">
        <f t="shared" si="14"/>
        <v>3.0555555555555598</v>
      </c>
      <c r="K82" s="29">
        <f>Ticketsys!H82</f>
        <v>3.3472222222222263</v>
      </c>
      <c r="L82" t="s">
        <v>37</v>
      </c>
      <c r="M82" t="s">
        <v>1883</v>
      </c>
      <c r="N82" s="1" t="str">
        <f t="shared" si="8"/>
        <v>middle-haul flights</v>
      </c>
      <c r="O82" s="27">
        <f t="shared" si="15"/>
        <v>0.83333333333333248</v>
      </c>
      <c r="P82" t="s">
        <v>1612</v>
      </c>
      <c r="Q82">
        <f>Ticketsys!J82</f>
        <v>1</v>
      </c>
    </row>
    <row r="83" spans="1:17">
      <c r="A83" t="s">
        <v>1234</v>
      </c>
      <c r="B83" t="s">
        <v>1444</v>
      </c>
      <c r="C83" t="str">
        <f>IF(Ticketsys!C83=CONCATENATE("long","-","haul"," ","flights"),"YES","NO")</f>
        <v>NO</v>
      </c>
      <c r="D83">
        <f t="shared" si="9"/>
        <v>325</v>
      </c>
      <c r="E83">
        <f t="shared" si="10"/>
        <v>65</v>
      </c>
      <c r="F83">
        <f t="shared" si="11"/>
        <v>65</v>
      </c>
      <c r="G83">
        <f t="shared" si="12"/>
        <v>195</v>
      </c>
      <c r="H83" s="2">
        <f t="shared" si="13"/>
        <v>43625</v>
      </c>
      <c r="I83" s="26">
        <f t="shared" si="14"/>
        <v>3.0937500000000044</v>
      </c>
      <c r="K83" s="29">
        <f>Ticketsys!H83</f>
        <v>3.385416666666671</v>
      </c>
      <c r="L83" t="s">
        <v>37</v>
      </c>
      <c r="M83" t="s">
        <v>1727</v>
      </c>
      <c r="N83" s="1" t="str">
        <f t="shared" si="8"/>
        <v>middle-haul flights</v>
      </c>
      <c r="O83" s="27">
        <f t="shared" si="15"/>
        <v>0.84374999999999911</v>
      </c>
      <c r="P83" t="s">
        <v>1614</v>
      </c>
      <c r="Q83">
        <f>Ticketsys!J83</f>
        <v>1</v>
      </c>
    </row>
    <row r="84" spans="1:17">
      <c r="A84" t="s">
        <v>1235</v>
      </c>
      <c r="B84" t="s">
        <v>1445</v>
      </c>
      <c r="C84" t="str">
        <f>IF(Ticketsys!C84=CONCATENATE("long","-","haul"," ","flights"),"YES","NO")</f>
        <v>NO</v>
      </c>
      <c r="D84">
        <f t="shared" si="9"/>
        <v>325</v>
      </c>
      <c r="E84">
        <f t="shared" si="10"/>
        <v>65</v>
      </c>
      <c r="F84">
        <f t="shared" si="11"/>
        <v>65</v>
      </c>
      <c r="G84">
        <f t="shared" si="12"/>
        <v>195</v>
      </c>
      <c r="H84" s="2">
        <f t="shared" si="13"/>
        <v>43645</v>
      </c>
      <c r="I84" s="26">
        <f t="shared" si="14"/>
        <v>3.1319444444444491</v>
      </c>
      <c r="K84" s="29">
        <f>Ticketsys!H84</f>
        <v>3.4236111111111156</v>
      </c>
      <c r="L84" t="s">
        <v>37</v>
      </c>
      <c r="M84" t="s">
        <v>1732</v>
      </c>
      <c r="N84" s="1" t="str">
        <f t="shared" si="8"/>
        <v>middle-haul flights</v>
      </c>
      <c r="O84" s="27">
        <f t="shared" si="15"/>
        <v>0.85416666666666574</v>
      </c>
      <c r="P84" t="s">
        <v>1614</v>
      </c>
      <c r="Q84">
        <f>Ticketsys!J84</f>
        <v>1</v>
      </c>
    </row>
    <row r="85" spans="1:17">
      <c r="A85" t="s">
        <v>1236</v>
      </c>
      <c r="B85" t="s">
        <v>1446</v>
      </c>
      <c r="C85" t="str">
        <f>IF(Ticketsys!C85=CONCATENATE("long","-","haul"," ","flights"),"YES","NO")</f>
        <v>NO</v>
      </c>
      <c r="D85">
        <f t="shared" si="9"/>
        <v>325</v>
      </c>
      <c r="E85">
        <f t="shared" si="10"/>
        <v>65</v>
      </c>
      <c r="F85">
        <f t="shared" si="11"/>
        <v>65</v>
      </c>
      <c r="G85">
        <f t="shared" si="12"/>
        <v>195</v>
      </c>
      <c r="H85" s="2">
        <f t="shared" si="13"/>
        <v>43665</v>
      </c>
      <c r="I85" s="26">
        <f t="shared" si="14"/>
        <v>3.1701388888888937</v>
      </c>
      <c r="K85" s="29">
        <f>Ticketsys!H85</f>
        <v>3.4618055555555602</v>
      </c>
      <c r="L85" t="s">
        <v>37</v>
      </c>
      <c r="M85" t="s">
        <v>1737</v>
      </c>
      <c r="N85" s="1" t="str">
        <f t="shared" si="8"/>
        <v>middle-haul flights</v>
      </c>
      <c r="O85" s="27">
        <f t="shared" si="15"/>
        <v>0.86458333333333237</v>
      </c>
      <c r="P85" t="s">
        <v>1614</v>
      </c>
      <c r="Q85">
        <f>Ticketsys!J85</f>
        <v>1</v>
      </c>
    </row>
    <row r="86" spans="1:17">
      <c r="A86" t="s">
        <v>1237</v>
      </c>
      <c r="B86" t="s">
        <v>1447</v>
      </c>
      <c r="C86" t="str">
        <f>IF(Ticketsys!C86=CONCATENATE("long","-","haul"," ","flights"),"YES","NO")</f>
        <v>NO</v>
      </c>
      <c r="D86">
        <f t="shared" si="9"/>
        <v>325</v>
      </c>
      <c r="E86">
        <f t="shared" si="10"/>
        <v>65</v>
      </c>
      <c r="F86">
        <f t="shared" si="11"/>
        <v>65</v>
      </c>
      <c r="G86">
        <f t="shared" si="12"/>
        <v>195</v>
      </c>
      <c r="H86" s="2">
        <f t="shared" si="13"/>
        <v>43685</v>
      </c>
      <c r="I86" s="26">
        <f t="shared" si="14"/>
        <v>3.2083333333333384</v>
      </c>
      <c r="K86" s="29">
        <f>Ticketsys!H86</f>
        <v>3.5000000000000049</v>
      </c>
      <c r="L86" t="s">
        <v>37</v>
      </c>
      <c r="M86" t="s">
        <v>1742</v>
      </c>
      <c r="N86" s="1" t="str">
        <f t="shared" si="8"/>
        <v>middle-haul flights</v>
      </c>
      <c r="O86" s="27">
        <f t="shared" si="15"/>
        <v>0.874999999999999</v>
      </c>
      <c r="P86" t="s">
        <v>1614</v>
      </c>
      <c r="Q86">
        <f>Ticketsys!J86</f>
        <v>1</v>
      </c>
    </row>
    <row r="87" spans="1:17">
      <c r="A87" t="s">
        <v>1238</v>
      </c>
      <c r="B87" t="s">
        <v>1448</v>
      </c>
      <c r="C87" t="str">
        <f>IF(Ticketsys!C87=CONCATENATE("long","-","haul"," ","flights"),"YES","NO")</f>
        <v>NO</v>
      </c>
      <c r="D87">
        <f t="shared" si="9"/>
        <v>325</v>
      </c>
      <c r="E87">
        <f t="shared" si="10"/>
        <v>65</v>
      </c>
      <c r="F87">
        <f t="shared" si="11"/>
        <v>65</v>
      </c>
      <c r="G87">
        <f t="shared" si="12"/>
        <v>195</v>
      </c>
      <c r="H87" s="2">
        <f t="shared" si="13"/>
        <v>43705</v>
      </c>
      <c r="I87" s="26">
        <f t="shared" si="14"/>
        <v>3.246527777777783</v>
      </c>
      <c r="K87" s="29">
        <f>Ticketsys!H87</f>
        <v>3.5381944444444495</v>
      </c>
      <c r="L87" t="s">
        <v>37</v>
      </c>
      <c r="M87" t="s">
        <v>1746</v>
      </c>
      <c r="N87" s="1" t="str">
        <f t="shared" si="8"/>
        <v>middle-haul flights</v>
      </c>
      <c r="O87" s="27">
        <f t="shared" si="15"/>
        <v>0.88541666666666563</v>
      </c>
      <c r="P87" t="s">
        <v>1614</v>
      </c>
      <c r="Q87">
        <f>Ticketsys!J87</f>
        <v>1</v>
      </c>
    </row>
    <row r="88" spans="1:17">
      <c r="A88" t="s">
        <v>1239</v>
      </c>
      <c r="B88" t="s">
        <v>1449</v>
      </c>
      <c r="C88" t="str">
        <f>IF(Ticketsys!C88=CONCATENATE("long","-","haul"," ","flights"),"YES","NO")</f>
        <v>NO</v>
      </c>
      <c r="D88">
        <f t="shared" si="9"/>
        <v>325</v>
      </c>
      <c r="E88">
        <f t="shared" si="10"/>
        <v>65</v>
      </c>
      <c r="F88">
        <f t="shared" si="11"/>
        <v>65</v>
      </c>
      <c r="G88">
        <f t="shared" si="12"/>
        <v>195</v>
      </c>
      <c r="H88" s="2">
        <f t="shared" si="13"/>
        <v>43725</v>
      </c>
      <c r="I88" s="26">
        <f t="shared" si="14"/>
        <v>3.2847222222222276</v>
      </c>
      <c r="K88" s="29">
        <f>Ticketsys!H88</f>
        <v>3.5763888888888942</v>
      </c>
      <c r="L88" t="s">
        <v>37</v>
      </c>
      <c r="M88" t="s">
        <v>1751</v>
      </c>
      <c r="N88" s="1" t="str">
        <f t="shared" si="8"/>
        <v>middle-haul flights</v>
      </c>
      <c r="O88" s="27">
        <f t="shared" si="15"/>
        <v>0.89583333333333226</v>
      </c>
      <c r="P88" t="s">
        <v>1612</v>
      </c>
      <c r="Q88">
        <f>Ticketsys!J88</f>
        <v>1</v>
      </c>
    </row>
    <row r="89" spans="1:17">
      <c r="A89" t="s">
        <v>1240</v>
      </c>
      <c r="B89" t="s">
        <v>1450</v>
      </c>
      <c r="C89" t="str">
        <f>IF(Ticketsys!C89=CONCATENATE("long","-","haul"," ","flights"),"YES","NO")</f>
        <v>NO</v>
      </c>
      <c r="D89">
        <f t="shared" si="9"/>
        <v>325</v>
      </c>
      <c r="E89">
        <f t="shared" si="10"/>
        <v>65</v>
      </c>
      <c r="F89">
        <f t="shared" si="11"/>
        <v>65</v>
      </c>
      <c r="G89">
        <f t="shared" si="12"/>
        <v>195</v>
      </c>
      <c r="H89" s="2">
        <f t="shared" si="13"/>
        <v>43745</v>
      </c>
      <c r="I89" s="26">
        <f t="shared" si="14"/>
        <v>3.3229166666666723</v>
      </c>
      <c r="K89" s="29">
        <f>Ticketsys!H89</f>
        <v>3.6145833333333388</v>
      </c>
      <c r="L89" t="s">
        <v>37</v>
      </c>
      <c r="M89" t="s">
        <v>1882</v>
      </c>
      <c r="N89" s="1" t="str">
        <f t="shared" si="8"/>
        <v>middle-haul flights</v>
      </c>
      <c r="O89" s="27">
        <f t="shared" si="15"/>
        <v>0.90624999999999889</v>
      </c>
      <c r="P89" t="s">
        <v>1614</v>
      </c>
      <c r="Q89">
        <f>Ticketsys!J89</f>
        <v>1</v>
      </c>
    </row>
    <row r="90" spans="1:17">
      <c r="A90" t="s">
        <v>1241</v>
      </c>
      <c r="B90" t="s">
        <v>1451</v>
      </c>
      <c r="C90" t="str">
        <f>IF(Ticketsys!C90=CONCATENATE("long","-","haul"," ","flights"),"YES","NO")</f>
        <v>NO</v>
      </c>
      <c r="D90">
        <f t="shared" si="9"/>
        <v>325</v>
      </c>
      <c r="E90">
        <f t="shared" si="10"/>
        <v>65</v>
      </c>
      <c r="F90">
        <f t="shared" si="11"/>
        <v>65</v>
      </c>
      <c r="G90">
        <f t="shared" si="12"/>
        <v>195</v>
      </c>
      <c r="H90" s="2">
        <f t="shared" si="13"/>
        <v>43765</v>
      </c>
      <c r="I90" s="26">
        <f t="shared" si="14"/>
        <v>3.3611111111111169</v>
      </c>
      <c r="K90" s="29">
        <f>Ticketsys!H90</f>
        <v>3.6527777777777835</v>
      </c>
      <c r="L90" t="s">
        <v>37</v>
      </c>
      <c r="M90" t="s">
        <v>1761</v>
      </c>
      <c r="N90" s="1" t="str">
        <f t="shared" si="8"/>
        <v>middle-haul flights</v>
      </c>
      <c r="O90" s="27">
        <f t="shared" si="15"/>
        <v>0.91666666666666552</v>
      </c>
      <c r="P90" t="s">
        <v>1612</v>
      </c>
      <c r="Q90">
        <f>Ticketsys!J90</f>
        <v>1</v>
      </c>
    </row>
    <row r="91" spans="1:17">
      <c r="A91" t="s">
        <v>1242</v>
      </c>
      <c r="B91" t="s">
        <v>1452</v>
      </c>
      <c r="C91" t="str">
        <f>IF(Ticketsys!C91=CONCATENATE("long","-","haul"," ","flights"),"YES","NO")</f>
        <v>NO</v>
      </c>
      <c r="D91">
        <f t="shared" si="9"/>
        <v>325</v>
      </c>
      <c r="E91">
        <f t="shared" si="10"/>
        <v>65</v>
      </c>
      <c r="F91">
        <f t="shared" si="11"/>
        <v>65</v>
      </c>
      <c r="G91">
        <f t="shared" si="12"/>
        <v>195</v>
      </c>
      <c r="H91" s="2">
        <f t="shared" si="13"/>
        <v>43785</v>
      </c>
      <c r="I91" s="26">
        <f t="shared" si="14"/>
        <v>3.3993055555555616</v>
      </c>
      <c r="K91" s="29">
        <f>Ticketsys!H91</f>
        <v>3.6909722222222281</v>
      </c>
      <c r="L91" t="s">
        <v>37</v>
      </c>
      <c r="M91" t="s">
        <v>1881</v>
      </c>
      <c r="N91" s="1" t="str">
        <f t="shared" si="8"/>
        <v>middle-haul flights</v>
      </c>
      <c r="O91" s="27">
        <f t="shared" si="15"/>
        <v>0.92708333333333215</v>
      </c>
      <c r="P91" t="s">
        <v>1612</v>
      </c>
      <c r="Q91">
        <f>Ticketsys!J91</f>
        <v>1</v>
      </c>
    </row>
    <row r="92" spans="1:17">
      <c r="A92" t="s">
        <v>1243</v>
      </c>
      <c r="B92" t="s">
        <v>1453</v>
      </c>
      <c r="C92" t="str">
        <f>IF(Ticketsys!C92=CONCATENATE("long","-","haul"," ","flights"),"YES","NO")</f>
        <v>NO</v>
      </c>
      <c r="D92">
        <f t="shared" si="9"/>
        <v>325</v>
      </c>
      <c r="E92">
        <f t="shared" si="10"/>
        <v>65</v>
      </c>
      <c r="F92">
        <f t="shared" si="11"/>
        <v>65</v>
      </c>
      <c r="G92">
        <f t="shared" si="12"/>
        <v>195</v>
      </c>
      <c r="H92" s="2">
        <f t="shared" si="13"/>
        <v>43805</v>
      </c>
      <c r="I92" s="26">
        <f t="shared" si="14"/>
        <v>3.4375000000000062</v>
      </c>
      <c r="K92" s="29">
        <f>Ticketsys!H92</f>
        <v>3.7291666666666727</v>
      </c>
      <c r="L92" t="s">
        <v>37</v>
      </c>
      <c r="M92" t="s">
        <v>1770</v>
      </c>
      <c r="N92" s="1" t="str">
        <f t="shared" si="8"/>
        <v>middle-haul flights</v>
      </c>
      <c r="O92" s="27">
        <f t="shared" si="15"/>
        <v>0.93749999999999878</v>
      </c>
      <c r="P92" t="s">
        <v>1614</v>
      </c>
      <c r="Q92">
        <f>Ticketsys!J92</f>
        <v>1</v>
      </c>
    </row>
    <row r="93" spans="1:17">
      <c r="A93" t="s">
        <v>1244</v>
      </c>
      <c r="B93" t="s">
        <v>1454</v>
      </c>
      <c r="C93" t="str">
        <f>IF(Ticketsys!C93=CONCATENATE("long","-","haul"," ","flights"),"YES","NO")</f>
        <v>NO</v>
      </c>
      <c r="D93">
        <f t="shared" si="9"/>
        <v>325</v>
      </c>
      <c r="E93">
        <f t="shared" si="10"/>
        <v>65</v>
      </c>
      <c r="F93">
        <f t="shared" si="11"/>
        <v>65</v>
      </c>
      <c r="G93">
        <f t="shared" si="12"/>
        <v>195</v>
      </c>
      <c r="H93" s="2">
        <f t="shared" si="13"/>
        <v>43825</v>
      </c>
      <c r="I93" s="26">
        <f t="shared" si="14"/>
        <v>3.4756944444444509</v>
      </c>
      <c r="K93" s="29">
        <f>Ticketsys!H93</f>
        <v>3.7673611111111174</v>
      </c>
      <c r="L93" t="s">
        <v>37</v>
      </c>
      <c r="M93" t="s">
        <v>1774</v>
      </c>
      <c r="N93" s="1" t="str">
        <f t="shared" si="8"/>
        <v>middle-haul flights</v>
      </c>
      <c r="O93" s="27">
        <f t="shared" si="15"/>
        <v>0.94791666666666541</v>
      </c>
      <c r="P93" t="s">
        <v>1613</v>
      </c>
      <c r="Q93">
        <f>Ticketsys!J93</f>
        <v>1</v>
      </c>
    </row>
    <row r="94" spans="1:17">
      <c r="A94" t="s">
        <v>1245</v>
      </c>
      <c r="B94" t="s">
        <v>1455</v>
      </c>
      <c r="C94" t="str">
        <f>IF(Ticketsys!C94=CONCATENATE("long","-","haul"," ","flights"),"YES","NO")</f>
        <v>NO</v>
      </c>
      <c r="D94">
        <f t="shared" si="9"/>
        <v>325</v>
      </c>
      <c r="E94">
        <f t="shared" si="10"/>
        <v>65</v>
      </c>
      <c r="F94">
        <f t="shared" si="11"/>
        <v>65</v>
      </c>
      <c r="G94">
        <f t="shared" si="12"/>
        <v>195</v>
      </c>
      <c r="H94" s="2">
        <f t="shared" si="13"/>
        <v>43845</v>
      </c>
      <c r="I94" s="26">
        <f t="shared" si="14"/>
        <v>3.5138888888888955</v>
      </c>
      <c r="K94" s="29">
        <f>Ticketsys!H94</f>
        <v>3.805555555555562</v>
      </c>
      <c r="L94" t="s">
        <v>37</v>
      </c>
      <c r="M94" t="s">
        <v>1778</v>
      </c>
      <c r="N94" s="1" t="str">
        <f t="shared" si="8"/>
        <v>middle-haul flights</v>
      </c>
      <c r="O94" s="27">
        <f t="shared" si="15"/>
        <v>0.95833333333333204</v>
      </c>
      <c r="P94" t="s">
        <v>1612</v>
      </c>
      <c r="Q94">
        <f>Ticketsys!J94</f>
        <v>1</v>
      </c>
    </row>
    <row r="95" spans="1:17">
      <c r="A95" t="s">
        <v>1246</v>
      </c>
      <c r="B95" t="s">
        <v>1456</v>
      </c>
      <c r="C95" t="str">
        <f>IF(Ticketsys!C95=CONCATENATE("long","-","haul"," ","flights"),"YES","NO")</f>
        <v>NO</v>
      </c>
      <c r="D95">
        <f t="shared" si="9"/>
        <v>325</v>
      </c>
      <c r="E95">
        <f t="shared" si="10"/>
        <v>65</v>
      </c>
      <c r="F95">
        <f t="shared" si="11"/>
        <v>65</v>
      </c>
      <c r="G95">
        <f t="shared" si="12"/>
        <v>195</v>
      </c>
      <c r="H95" s="2">
        <f>H2+15</f>
        <v>42020</v>
      </c>
      <c r="I95" s="26">
        <f t="shared" si="14"/>
        <v>3.5520833333333401</v>
      </c>
      <c r="K95" s="29">
        <f>Ticketsys!H95</f>
        <v>3.8437500000000067</v>
      </c>
      <c r="L95" t="s">
        <v>37</v>
      </c>
      <c r="M95" t="s">
        <v>1783</v>
      </c>
      <c r="N95" s="1" t="str">
        <f t="shared" si="8"/>
        <v>middle-haul flights</v>
      </c>
      <c r="O95" s="27">
        <f t="shared" si="15"/>
        <v>0.96874999999999867</v>
      </c>
      <c r="P95" t="s">
        <v>1613</v>
      </c>
      <c r="Q95">
        <f>Ticketsys!J95</f>
        <v>1</v>
      </c>
    </row>
    <row r="96" spans="1:17">
      <c r="A96" t="s">
        <v>1247</v>
      </c>
      <c r="B96" t="s">
        <v>1457</v>
      </c>
      <c r="C96" t="str">
        <f>IF(Ticketsys!C96=CONCATENATE("long","-","haul"," ","flights"),"YES","NO")</f>
        <v>NO</v>
      </c>
      <c r="D96">
        <f t="shared" si="9"/>
        <v>325</v>
      </c>
      <c r="E96">
        <f t="shared" si="10"/>
        <v>65</v>
      </c>
      <c r="F96">
        <f t="shared" si="11"/>
        <v>65</v>
      </c>
      <c r="G96">
        <f t="shared" si="12"/>
        <v>195</v>
      </c>
      <c r="H96" s="2">
        <f t="shared" ref="H96:H159" si="16">H3+15</f>
        <v>42040</v>
      </c>
      <c r="I96" s="26">
        <f t="shared" si="14"/>
        <v>3.5902777777777848</v>
      </c>
      <c r="K96" s="29">
        <f>Ticketsys!H96</f>
        <v>3.8819444444444513</v>
      </c>
      <c r="L96" t="s">
        <v>37</v>
      </c>
      <c r="M96" t="s">
        <v>1787</v>
      </c>
      <c r="N96" s="1" t="str">
        <f t="shared" si="8"/>
        <v>middle-haul flights</v>
      </c>
      <c r="O96" s="27">
        <f t="shared" si="15"/>
        <v>0.9791666666666653</v>
      </c>
      <c r="P96" t="s">
        <v>1612</v>
      </c>
      <c r="Q96">
        <f>Ticketsys!J96</f>
        <v>1</v>
      </c>
    </row>
    <row r="97" spans="1:17">
      <c r="A97" t="s">
        <v>1248</v>
      </c>
      <c r="B97" t="s">
        <v>1458</v>
      </c>
      <c r="C97" t="str">
        <f>IF(Ticketsys!C97=CONCATENATE("long","-","haul"," ","flights"),"YES","NO")</f>
        <v>NO</v>
      </c>
      <c r="D97">
        <f t="shared" si="9"/>
        <v>325</v>
      </c>
      <c r="E97">
        <f t="shared" si="10"/>
        <v>65</v>
      </c>
      <c r="F97">
        <f t="shared" si="11"/>
        <v>65</v>
      </c>
      <c r="G97">
        <f t="shared" si="12"/>
        <v>195</v>
      </c>
      <c r="H97" s="2">
        <f t="shared" si="16"/>
        <v>42060</v>
      </c>
      <c r="I97" s="26">
        <f t="shared" si="14"/>
        <v>3.6284722222222294</v>
      </c>
      <c r="K97" s="29">
        <f>Ticketsys!H97</f>
        <v>3.9201388888888959</v>
      </c>
      <c r="L97" t="s">
        <v>37</v>
      </c>
      <c r="M97" t="s">
        <v>1880</v>
      </c>
      <c r="N97" s="1" t="str">
        <f t="shared" si="8"/>
        <v>middle-haul flights</v>
      </c>
      <c r="O97" s="27">
        <f t="shared" si="15"/>
        <v>0.98958333333333193</v>
      </c>
      <c r="P97" t="s">
        <v>1614</v>
      </c>
      <c r="Q97">
        <f>Ticketsys!J97</f>
        <v>1</v>
      </c>
    </row>
    <row r="98" spans="1:17">
      <c r="A98" t="s">
        <v>1249</v>
      </c>
      <c r="B98" t="s">
        <v>1459</v>
      </c>
      <c r="C98" t="str">
        <f>IF(Ticketsys!C98=CONCATENATE("long","-","haul"," ","flights"),"YES","NO")</f>
        <v>NO</v>
      </c>
      <c r="D98">
        <f t="shared" si="9"/>
        <v>325</v>
      </c>
      <c r="E98">
        <f t="shared" si="10"/>
        <v>65</v>
      </c>
      <c r="F98">
        <f t="shared" si="11"/>
        <v>65</v>
      </c>
      <c r="G98">
        <f t="shared" si="12"/>
        <v>195</v>
      </c>
      <c r="H98" s="2">
        <f t="shared" si="16"/>
        <v>42080</v>
      </c>
      <c r="I98" s="26">
        <f t="shared" si="14"/>
        <v>3.6666666666666741</v>
      </c>
      <c r="K98" s="29">
        <f>Ticketsys!H98</f>
        <v>3.9583333333333406</v>
      </c>
      <c r="L98" t="s">
        <v>37</v>
      </c>
      <c r="M98" t="s">
        <v>1795</v>
      </c>
      <c r="N98" s="1" t="str">
        <f t="shared" si="8"/>
        <v>middle-haul flights</v>
      </c>
      <c r="O98" s="27">
        <f t="shared" si="15"/>
        <v>0.99999999999999856</v>
      </c>
      <c r="P98" t="s">
        <v>1614</v>
      </c>
      <c r="Q98">
        <f>Ticketsys!J98</f>
        <v>1</v>
      </c>
    </row>
    <row r="99" spans="1:17">
      <c r="A99" t="s">
        <v>1250</v>
      </c>
      <c r="B99" t="s">
        <v>1460</v>
      </c>
      <c r="C99" t="str">
        <f>IF(Ticketsys!C99=CONCATENATE("long","-","haul"," ","flights"),"YES","NO")</f>
        <v>NO</v>
      </c>
      <c r="D99">
        <f t="shared" si="9"/>
        <v>325</v>
      </c>
      <c r="E99">
        <f t="shared" si="10"/>
        <v>65</v>
      </c>
      <c r="F99">
        <f t="shared" si="11"/>
        <v>65</v>
      </c>
      <c r="G99">
        <f t="shared" si="12"/>
        <v>195</v>
      </c>
      <c r="H99" s="2">
        <f t="shared" si="16"/>
        <v>42100</v>
      </c>
      <c r="I99" s="26">
        <f t="shared" si="14"/>
        <v>3.7048611111111187</v>
      </c>
      <c r="K99" s="29">
        <f>Ticketsys!H99</f>
        <v>3.9965277777777852</v>
      </c>
      <c r="L99" t="s">
        <v>37</v>
      </c>
      <c r="M99" t="s">
        <v>1879</v>
      </c>
      <c r="N99" s="1" t="str">
        <f t="shared" si="8"/>
        <v>middle-haul flights</v>
      </c>
      <c r="O99" s="27">
        <f t="shared" si="15"/>
        <v>1.0104166666666652</v>
      </c>
      <c r="P99" t="s">
        <v>1614</v>
      </c>
      <c r="Q99">
        <f>Ticketsys!J99</f>
        <v>1</v>
      </c>
    </row>
    <row r="100" spans="1:17">
      <c r="A100" t="s">
        <v>1251</v>
      </c>
      <c r="B100" t="s">
        <v>1461</v>
      </c>
      <c r="C100" t="str">
        <f>IF(Ticketsys!C100=CONCATENATE("long","-","haul"," ","flights"),"YES","NO")</f>
        <v>NO</v>
      </c>
      <c r="D100">
        <f t="shared" si="9"/>
        <v>325</v>
      </c>
      <c r="E100">
        <f t="shared" si="10"/>
        <v>65</v>
      </c>
      <c r="F100">
        <f t="shared" si="11"/>
        <v>65</v>
      </c>
      <c r="G100">
        <f t="shared" si="12"/>
        <v>195</v>
      </c>
      <c r="H100" s="2">
        <f t="shared" si="16"/>
        <v>42120</v>
      </c>
      <c r="I100" s="26">
        <f t="shared" si="14"/>
        <v>3.7430555555555634</v>
      </c>
      <c r="K100" s="29">
        <f>Ticketsys!H100</f>
        <v>4.0347222222222303</v>
      </c>
      <c r="L100" t="s">
        <v>37</v>
      </c>
      <c r="M100" t="s">
        <v>1805</v>
      </c>
      <c r="N100" s="1" t="str">
        <f t="shared" si="8"/>
        <v>middle-haul flights</v>
      </c>
      <c r="O100" s="27">
        <f t="shared" si="15"/>
        <v>1.0208333333333319</v>
      </c>
      <c r="P100" t="s">
        <v>1614</v>
      </c>
      <c r="Q100">
        <f>Ticketsys!J100</f>
        <v>1</v>
      </c>
    </row>
    <row r="101" spans="1:17">
      <c r="A101" t="s">
        <v>1252</v>
      </c>
      <c r="B101" t="s">
        <v>1462</v>
      </c>
      <c r="C101" t="str">
        <f>IF(Ticketsys!C101=CONCATENATE("long","-","haul"," ","flights"),"YES","NO")</f>
        <v>NO</v>
      </c>
      <c r="D101">
        <f t="shared" si="9"/>
        <v>325</v>
      </c>
      <c r="E101">
        <f t="shared" si="10"/>
        <v>65</v>
      </c>
      <c r="F101">
        <f t="shared" si="11"/>
        <v>65</v>
      </c>
      <c r="G101">
        <f t="shared" si="12"/>
        <v>195</v>
      </c>
      <c r="H101" s="2">
        <f t="shared" si="16"/>
        <v>42140</v>
      </c>
      <c r="I101" s="26">
        <f t="shared" si="14"/>
        <v>3.781250000000008</v>
      </c>
      <c r="K101" s="29">
        <f>Ticketsys!H101</f>
        <v>4.072916666666675</v>
      </c>
      <c r="L101" t="s">
        <v>37</v>
      </c>
      <c r="M101" t="s">
        <v>1878</v>
      </c>
      <c r="N101" s="1" t="str">
        <f t="shared" si="8"/>
        <v>middle-haul flights</v>
      </c>
      <c r="O101" s="27">
        <f t="shared" si="15"/>
        <v>1.0312499999999987</v>
      </c>
      <c r="P101" t="s">
        <v>1614</v>
      </c>
      <c r="Q101">
        <f>Ticketsys!J101</f>
        <v>1</v>
      </c>
    </row>
    <row r="102" spans="1:17">
      <c r="A102" t="s">
        <v>1253</v>
      </c>
      <c r="B102" t="s">
        <v>1463</v>
      </c>
      <c r="C102" t="str">
        <f>IF(Ticketsys!C102=CONCATENATE("long","-","haul"," ","flights"),"YES","NO")</f>
        <v>NO</v>
      </c>
      <c r="D102">
        <f t="shared" si="9"/>
        <v>325</v>
      </c>
      <c r="E102">
        <f t="shared" si="10"/>
        <v>65</v>
      </c>
      <c r="F102">
        <f t="shared" si="11"/>
        <v>65</v>
      </c>
      <c r="G102">
        <f t="shared" si="12"/>
        <v>195</v>
      </c>
      <c r="H102" s="2">
        <f t="shared" si="16"/>
        <v>42160</v>
      </c>
      <c r="I102" s="26">
        <f t="shared" si="14"/>
        <v>3.8194444444444526</v>
      </c>
      <c r="K102" s="29">
        <f>Ticketsys!H102</f>
        <v>4.1111111111111196</v>
      </c>
      <c r="L102" t="s">
        <v>37</v>
      </c>
      <c r="M102" t="s">
        <v>1814</v>
      </c>
      <c r="N102" s="1" t="str">
        <f t="shared" si="8"/>
        <v>middle-haul flights</v>
      </c>
      <c r="O102" s="27">
        <f t="shared" si="15"/>
        <v>1.0416666666666654</v>
      </c>
      <c r="P102" t="s">
        <v>1612</v>
      </c>
      <c r="Q102">
        <f>Ticketsys!J102</f>
        <v>1</v>
      </c>
    </row>
    <row r="103" spans="1:17">
      <c r="A103" t="s">
        <v>1254</v>
      </c>
      <c r="B103" t="s">
        <v>1464</v>
      </c>
      <c r="C103" t="str">
        <f>IF(Ticketsys!C103=CONCATENATE("long","-","haul"," ","flights"),"YES","NO")</f>
        <v>NO</v>
      </c>
      <c r="D103">
        <f t="shared" si="9"/>
        <v>325</v>
      </c>
      <c r="E103">
        <f t="shared" si="10"/>
        <v>65</v>
      </c>
      <c r="F103">
        <f t="shared" si="11"/>
        <v>65</v>
      </c>
      <c r="G103">
        <f t="shared" si="12"/>
        <v>195</v>
      </c>
      <c r="H103" s="2">
        <f t="shared" si="16"/>
        <v>42180</v>
      </c>
      <c r="I103" s="26">
        <f t="shared" si="14"/>
        <v>3.8576388888888973</v>
      </c>
      <c r="K103" s="29">
        <f>Ticketsys!H103</f>
        <v>4.1493055555555642</v>
      </c>
      <c r="L103" t="s">
        <v>37</v>
      </c>
      <c r="M103" t="s">
        <v>1877</v>
      </c>
      <c r="N103" s="1" t="str">
        <f t="shared" si="8"/>
        <v>middle-haul flights</v>
      </c>
      <c r="O103" s="27">
        <f t="shared" si="15"/>
        <v>1.0520833333333321</v>
      </c>
      <c r="P103" t="s">
        <v>1614</v>
      </c>
      <c r="Q103">
        <f>Ticketsys!J103</f>
        <v>1</v>
      </c>
    </row>
    <row r="104" spans="1:17">
      <c r="A104" t="s">
        <v>1255</v>
      </c>
      <c r="B104" t="s">
        <v>1465</v>
      </c>
      <c r="C104" t="str">
        <f>IF(Ticketsys!C104=CONCATENATE("long","-","haul"," ","flights"),"YES","NO")</f>
        <v>NO</v>
      </c>
      <c r="D104">
        <f t="shared" si="9"/>
        <v>325</v>
      </c>
      <c r="E104">
        <f t="shared" si="10"/>
        <v>65</v>
      </c>
      <c r="F104">
        <f t="shared" si="11"/>
        <v>65</v>
      </c>
      <c r="G104">
        <f t="shared" si="12"/>
        <v>195</v>
      </c>
      <c r="H104" s="2">
        <f t="shared" si="16"/>
        <v>42200</v>
      </c>
      <c r="I104" s="26">
        <f t="shared" si="14"/>
        <v>3.8958333333333419</v>
      </c>
      <c r="K104" s="29">
        <f>Ticketsys!H104</f>
        <v>4.1875000000000089</v>
      </c>
      <c r="L104" t="s">
        <v>37</v>
      </c>
      <c r="M104" t="s">
        <v>1823</v>
      </c>
      <c r="N104" s="1" t="str">
        <f t="shared" si="8"/>
        <v>middle-haul flights</v>
      </c>
      <c r="O104" s="27">
        <f t="shared" si="15"/>
        <v>1.0624999999999989</v>
      </c>
      <c r="P104" t="s">
        <v>1612</v>
      </c>
      <c r="Q104">
        <f>Ticketsys!J104</f>
        <v>1</v>
      </c>
    </row>
    <row r="105" spans="1:17">
      <c r="A105" t="s">
        <v>1256</v>
      </c>
      <c r="B105" t="s">
        <v>1466</v>
      </c>
      <c r="C105" t="str">
        <f>IF(Ticketsys!C105=CONCATENATE("long","-","haul"," ","flights"),"YES","NO")</f>
        <v>NO</v>
      </c>
      <c r="D105">
        <f t="shared" si="9"/>
        <v>325</v>
      </c>
      <c r="E105">
        <f t="shared" si="10"/>
        <v>65</v>
      </c>
      <c r="F105">
        <f t="shared" si="11"/>
        <v>65</v>
      </c>
      <c r="G105">
        <f t="shared" si="12"/>
        <v>195</v>
      </c>
      <c r="H105" s="2">
        <f t="shared" si="16"/>
        <v>42220</v>
      </c>
      <c r="I105" s="26">
        <f t="shared" si="14"/>
        <v>3.9340277777777866</v>
      </c>
      <c r="K105" s="29">
        <f>Ticketsys!H105</f>
        <v>4.2256944444444535</v>
      </c>
      <c r="L105" t="s">
        <v>37</v>
      </c>
      <c r="M105" t="s">
        <v>1828</v>
      </c>
      <c r="N105" s="1" t="str">
        <f t="shared" si="8"/>
        <v>middle-haul flights</v>
      </c>
      <c r="O105" s="27">
        <f t="shared" si="15"/>
        <v>1.0729166666666656</v>
      </c>
      <c r="P105" t="s">
        <v>1612</v>
      </c>
      <c r="Q105">
        <f>Ticketsys!J105</f>
        <v>1</v>
      </c>
    </row>
    <row r="106" spans="1:17">
      <c r="A106" t="s">
        <v>1257</v>
      </c>
      <c r="B106" t="s">
        <v>1467</v>
      </c>
      <c r="C106" t="str">
        <f>IF(Ticketsys!C106=CONCATENATE("long","-","haul"," ","flights"),"YES","NO")</f>
        <v>NO</v>
      </c>
      <c r="D106">
        <f t="shared" si="9"/>
        <v>325</v>
      </c>
      <c r="E106">
        <f t="shared" si="10"/>
        <v>65</v>
      </c>
      <c r="F106">
        <f t="shared" si="11"/>
        <v>65</v>
      </c>
      <c r="G106">
        <f t="shared" si="12"/>
        <v>195</v>
      </c>
      <c r="H106" s="2">
        <f t="shared" si="16"/>
        <v>42240</v>
      </c>
      <c r="I106" s="26">
        <f t="shared" si="14"/>
        <v>3.9722222222222312</v>
      </c>
      <c r="K106" s="29">
        <f>Ticketsys!H106</f>
        <v>4.2638888888888982</v>
      </c>
      <c r="L106" t="s">
        <v>37</v>
      </c>
      <c r="M106" t="s">
        <v>1876</v>
      </c>
      <c r="N106" s="1" t="str">
        <f t="shared" si="8"/>
        <v>middle-haul flights</v>
      </c>
      <c r="O106" s="27">
        <f t="shared" si="15"/>
        <v>1.0833333333333324</v>
      </c>
      <c r="P106" t="s">
        <v>1614</v>
      </c>
      <c r="Q106">
        <f>Ticketsys!J106</f>
        <v>1</v>
      </c>
    </row>
    <row r="107" spans="1:17">
      <c r="A107" t="s">
        <v>1258</v>
      </c>
      <c r="B107" t="s">
        <v>1468</v>
      </c>
      <c r="C107" t="str">
        <f>IF(Ticketsys!C107=CONCATENATE("long","-","haul"," ","flights"),"YES","NO")</f>
        <v>NO</v>
      </c>
      <c r="D107">
        <f t="shared" si="9"/>
        <v>325</v>
      </c>
      <c r="E107">
        <f t="shared" si="10"/>
        <v>65</v>
      </c>
      <c r="F107">
        <f t="shared" si="11"/>
        <v>65</v>
      </c>
      <c r="G107">
        <f t="shared" si="12"/>
        <v>195</v>
      </c>
      <c r="H107" s="2">
        <f t="shared" si="16"/>
        <v>42260</v>
      </c>
      <c r="I107" s="26">
        <f t="shared" si="14"/>
        <v>4.0104166666666758</v>
      </c>
      <c r="K107" s="29">
        <f>Ticketsys!H107</f>
        <v>4.3020833333333428</v>
      </c>
      <c r="L107" t="s">
        <v>37</v>
      </c>
      <c r="M107" t="s">
        <v>1875</v>
      </c>
      <c r="N107" s="1" t="str">
        <f t="shared" si="8"/>
        <v>middle-haul flights</v>
      </c>
      <c r="O107" s="27">
        <f t="shared" si="15"/>
        <v>1.0937499999999991</v>
      </c>
      <c r="P107" t="s">
        <v>1614</v>
      </c>
      <c r="Q107">
        <f>Ticketsys!J107</f>
        <v>1</v>
      </c>
    </row>
    <row r="108" spans="1:17">
      <c r="A108" t="s">
        <v>1259</v>
      </c>
      <c r="B108" t="s">
        <v>1469</v>
      </c>
      <c r="C108" t="str">
        <f>IF(Ticketsys!C108=CONCATENATE("long","-","haul"," ","flights"),"YES","NO")</f>
        <v>NO</v>
      </c>
      <c r="D108">
        <f t="shared" si="9"/>
        <v>325</v>
      </c>
      <c r="E108">
        <f t="shared" si="10"/>
        <v>65</v>
      </c>
      <c r="F108">
        <f t="shared" si="11"/>
        <v>65</v>
      </c>
      <c r="G108">
        <f t="shared" si="12"/>
        <v>195</v>
      </c>
      <c r="H108" s="2">
        <f t="shared" si="16"/>
        <v>42280</v>
      </c>
      <c r="I108" s="26">
        <f t="shared" si="14"/>
        <v>4.0486111111111205</v>
      </c>
      <c r="K108" s="29">
        <f>Ticketsys!H108</f>
        <v>4.3402777777777874</v>
      </c>
      <c r="L108" t="s">
        <v>37</v>
      </c>
      <c r="M108" t="s">
        <v>1874</v>
      </c>
      <c r="N108" s="1" t="str">
        <f t="shared" si="8"/>
        <v>middle-haul flights</v>
      </c>
      <c r="O108" s="27">
        <f t="shared" si="15"/>
        <v>1.1041666666666659</v>
      </c>
      <c r="P108" t="s">
        <v>1614</v>
      </c>
      <c r="Q108">
        <f>Ticketsys!J108</f>
        <v>1</v>
      </c>
    </row>
    <row r="109" spans="1:17">
      <c r="A109" t="s">
        <v>1260</v>
      </c>
      <c r="B109" t="s">
        <v>1470</v>
      </c>
      <c r="C109" t="str">
        <f>IF(Ticketsys!C109=CONCATENATE("long","-","haul"," ","flights"),"YES","NO")</f>
        <v>NO</v>
      </c>
      <c r="D109">
        <f t="shared" si="9"/>
        <v>325</v>
      </c>
      <c r="E109">
        <f t="shared" si="10"/>
        <v>65</v>
      </c>
      <c r="F109">
        <f t="shared" si="11"/>
        <v>65</v>
      </c>
      <c r="G109">
        <f t="shared" si="12"/>
        <v>195</v>
      </c>
      <c r="H109" s="2">
        <f t="shared" si="16"/>
        <v>42300</v>
      </c>
      <c r="I109" s="26">
        <f t="shared" si="14"/>
        <v>4.0868055555555651</v>
      </c>
      <c r="K109" s="29">
        <f>Ticketsys!H109</f>
        <v>4.3784722222222321</v>
      </c>
      <c r="L109" t="s">
        <v>37</v>
      </c>
      <c r="M109" t="s">
        <v>1843</v>
      </c>
      <c r="N109" s="1" t="str">
        <f t="shared" si="8"/>
        <v>middle-haul flights</v>
      </c>
      <c r="O109" s="27">
        <f t="shared" si="15"/>
        <v>1.1145833333333326</v>
      </c>
      <c r="P109" t="s">
        <v>1614</v>
      </c>
      <c r="Q109">
        <f>Ticketsys!J109</f>
        <v>1</v>
      </c>
    </row>
    <row r="110" spans="1:17">
      <c r="A110" t="s">
        <v>1261</v>
      </c>
      <c r="B110" t="s">
        <v>1471</v>
      </c>
      <c r="C110" t="str">
        <f>IF(Ticketsys!C110=CONCATENATE("long","-","haul"," ","flights"),"YES","NO")</f>
        <v>NO</v>
      </c>
      <c r="D110">
        <f t="shared" si="9"/>
        <v>325</v>
      </c>
      <c r="E110">
        <f t="shared" si="10"/>
        <v>65</v>
      </c>
      <c r="F110">
        <f t="shared" si="11"/>
        <v>65</v>
      </c>
      <c r="G110">
        <f t="shared" si="12"/>
        <v>195</v>
      </c>
      <c r="H110" s="2">
        <f t="shared" si="16"/>
        <v>42320</v>
      </c>
      <c r="I110" s="26">
        <f t="shared" si="14"/>
        <v>4.1250000000000098</v>
      </c>
      <c r="K110" s="29">
        <f>Ticketsys!H110</f>
        <v>4.4166666666666767</v>
      </c>
      <c r="L110" t="s">
        <v>37</v>
      </c>
      <c r="M110" t="s">
        <v>1873</v>
      </c>
      <c r="N110" s="1" t="str">
        <f t="shared" si="8"/>
        <v>middle-haul flights</v>
      </c>
      <c r="O110" s="27">
        <f t="shared" si="15"/>
        <v>1.1249999999999993</v>
      </c>
      <c r="P110" t="s">
        <v>1614</v>
      </c>
      <c r="Q110">
        <f>Ticketsys!J110</f>
        <v>1</v>
      </c>
    </row>
    <row r="111" spans="1:17">
      <c r="A111" t="s">
        <v>1262</v>
      </c>
      <c r="B111" t="s">
        <v>1472</v>
      </c>
      <c r="C111" t="str">
        <f>IF(Ticketsys!C111=CONCATENATE("long","-","haul"," ","flights"),"YES","NO")</f>
        <v>NO</v>
      </c>
      <c r="D111">
        <f t="shared" si="9"/>
        <v>325</v>
      </c>
      <c r="E111">
        <f t="shared" si="10"/>
        <v>65</v>
      </c>
      <c r="F111">
        <f t="shared" si="11"/>
        <v>65</v>
      </c>
      <c r="G111">
        <f t="shared" si="12"/>
        <v>195</v>
      </c>
      <c r="H111" s="2">
        <f t="shared" si="16"/>
        <v>42340</v>
      </c>
      <c r="I111" s="26">
        <f t="shared" si="14"/>
        <v>4.1631944444444544</v>
      </c>
      <c r="K111" s="29">
        <f>Ticketsys!H111</f>
        <v>4.4548611111111214</v>
      </c>
      <c r="L111" t="s">
        <v>37</v>
      </c>
      <c r="M111" t="s">
        <v>1851</v>
      </c>
      <c r="N111" s="1" t="str">
        <f t="shared" si="8"/>
        <v>middle-haul flights</v>
      </c>
      <c r="O111" s="27">
        <f t="shared" si="15"/>
        <v>1.1354166666666661</v>
      </c>
      <c r="P111" t="s">
        <v>1614</v>
      </c>
      <c r="Q111">
        <f>Ticketsys!J111</f>
        <v>1</v>
      </c>
    </row>
    <row r="112" spans="1:17">
      <c r="A112" t="s">
        <v>1263</v>
      </c>
      <c r="B112" t="s">
        <v>1473</v>
      </c>
      <c r="C112" t="str">
        <f>IF(Ticketsys!C112=CONCATENATE("long","-","haul"," ","flights"),"YES","NO")</f>
        <v>NO</v>
      </c>
      <c r="D112">
        <f t="shared" si="9"/>
        <v>325</v>
      </c>
      <c r="E112">
        <f t="shared" si="10"/>
        <v>65</v>
      </c>
      <c r="F112">
        <f t="shared" si="11"/>
        <v>65</v>
      </c>
      <c r="G112">
        <f t="shared" si="12"/>
        <v>195</v>
      </c>
      <c r="H112" s="2">
        <f t="shared" si="16"/>
        <v>42360</v>
      </c>
      <c r="I112" s="26">
        <f t="shared" si="14"/>
        <v>4.2013888888888991</v>
      </c>
      <c r="K112" s="29">
        <f>Ticketsys!H112</f>
        <v>4.493055555555566</v>
      </c>
      <c r="L112" t="s">
        <v>37</v>
      </c>
      <c r="M112" t="s">
        <v>1872</v>
      </c>
      <c r="N112" s="1" t="str">
        <f t="shared" si="8"/>
        <v>middle-haul flights</v>
      </c>
      <c r="O112" s="27">
        <f t="shared" si="15"/>
        <v>1.1458333333333328</v>
      </c>
      <c r="P112" t="s">
        <v>1613</v>
      </c>
      <c r="Q112">
        <f>Ticketsys!J112</f>
        <v>1</v>
      </c>
    </row>
    <row r="113" spans="1:17">
      <c r="A113" t="s">
        <v>1264</v>
      </c>
      <c r="B113" t="s">
        <v>1474</v>
      </c>
      <c r="C113" t="str">
        <f>IF(Ticketsys!C113=CONCATENATE("long","-","haul"," ","flights"),"YES","NO")</f>
        <v>NO</v>
      </c>
      <c r="D113">
        <f t="shared" si="9"/>
        <v>325</v>
      </c>
      <c r="E113">
        <f t="shared" si="10"/>
        <v>65</v>
      </c>
      <c r="F113">
        <f t="shared" si="11"/>
        <v>65</v>
      </c>
      <c r="G113">
        <f t="shared" si="12"/>
        <v>195</v>
      </c>
      <c r="H113" s="2">
        <f t="shared" si="16"/>
        <v>42380</v>
      </c>
      <c r="I113" s="26">
        <f t="shared" si="14"/>
        <v>4.2395833333333437</v>
      </c>
      <c r="K113" s="29">
        <f>Ticketsys!H113</f>
        <v>4.5312500000000107</v>
      </c>
      <c r="L113" t="s">
        <v>37</v>
      </c>
      <c r="M113" t="s">
        <v>1859</v>
      </c>
      <c r="N113" s="1" t="str">
        <f t="shared" si="8"/>
        <v>middle-haul flights</v>
      </c>
      <c r="O113" s="27">
        <f t="shared" si="15"/>
        <v>1.1562499999999996</v>
      </c>
      <c r="P113" t="s">
        <v>1612</v>
      </c>
      <c r="Q113">
        <f>Ticketsys!J113</f>
        <v>1</v>
      </c>
    </row>
    <row r="114" spans="1:17">
      <c r="A114" t="s">
        <v>1265</v>
      </c>
      <c r="B114" t="s">
        <v>1475</v>
      </c>
      <c r="C114" t="str">
        <f>IF(Ticketsys!C114=CONCATENATE("long","-","haul"," ","flights"),"YES","NO")</f>
        <v>NO</v>
      </c>
      <c r="D114">
        <f t="shared" si="9"/>
        <v>325</v>
      </c>
      <c r="E114">
        <f t="shared" si="10"/>
        <v>65</v>
      </c>
      <c r="F114">
        <f t="shared" si="11"/>
        <v>65</v>
      </c>
      <c r="G114">
        <f t="shared" si="12"/>
        <v>195</v>
      </c>
      <c r="H114" s="2">
        <f t="shared" si="16"/>
        <v>42400</v>
      </c>
      <c r="I114" s="26">
        <f t="shared" si="14"/>
        <v>4.2777777777777883</v>
      </c>
      <c r="K114" s="29">
        <f>Ticketsys!H114</f>
        <v>4.5694444444444553</v>
      </c>
      <c r="L114" t="s">
        <v>37</v>
      </c>
      <c r="M114" t="s">
        <v>1863</v>
      </c>
      <c r="N114" s="1" t="str">
        <f t="shared" si="8"/>
        <v>middle-haul flights</v>
      </c>
      <c r="O114" s="27">
        <f t="shared" si="15"/>
        <v>1.1666666666666663</v>
      </c>
      <c r="P114" t="s">
        <v>1613</v>
      </c>
      <c r="Q114">
        <f>Ticketsys!J114</f>
        <v>1</v>
      </c>
    </row>
    <row r="115" spans="1:17">
      <c r="A115" t="s">
        <v>1266</v>
      </c>
      <c r="B115" t="s">
        <v>1476</v>
      </c>
      <c r="C115" t="str">
        <f>IF(Ticketsys!C115=CONCATENATE("long","-","haul"," ","flights"),"YES","NO")</f>
        <v>NO</v>
      </c>
      <c r="D115">
        <f t="shared" si="9"/>
        <v>325</v>
      </c>
      <c r="E115">
        <f t="shared" si="10"/>
        <v>65</v>
      </c>
      <c r="F115">
        <f t="shared" si="11"/>
        <v>65</v>
      </c>
      <c r="G115">
        <f t="shared" si="12"/>
        <v>195</v>
      </c>
      <c r="H115" s="2">
        <f t="shared" si="16"/>
        <v>42420</v>
      </c>
      <c r="I115" s="26">
        <f t="shared" si="14"/>
        <v>4.315972222222233</v>
      </c>
      <c r="K115" s="29">
        <f>Ticketsys!H115</f>
        <v>4.6076388888888999</v>
      </c>
      <c r="L115" t="s">
        <v>37</v>
      </c>
      <c r="M115" t="s">
        <v>1867</v>
      </c>
      <c r="N115" s="1" t="str">
        <f t="shared" si="8"/>
        <v>middle-haul flights</v>
      </c>
      <c r="O115" s="27">
        <f t="shared" si="15"/>
        <v>1.177083333333333</v>
      </c>
      <c r="P115" t="s">
        <v>1612</v>
      </c>
      <c r="Q115">
        <f>Ticketsys!J115</f>
        <v>1</v>
      </c>
    </row>
    <row r="116" spans="1:17">
      <c r="A116" t="s">
        <v>1267</v>
      </c>
      <c r="B116" t="s">
        <v>1477</v>
      </c>
      <c r="C116" t="str">
        <f>IF(Ticketsys!C116=CONCATENATE("long","-","haul"," ","flights"),"YES","NO")</f>
        <v>NO</v>
      </c>
      <c r="D116">
        <f t="shared" si="9"/>
        <v>325</v>
      </c>
      <c r="E116">
        <f t="shared" si="10"/>
        <v>65</v>
      </c>
      <c r="F116">
        <f t="shared" si="11"/>
        <v>65</v>
      </c>
      <c r="G116">
        <f t="shared" si="12"/>
        <v>195</v>
      </c>
      <c r="H116" s="2">
        <f t="shared" si="16"/>
        <v>42440</v>
      </c>
      <c r="I116" s="26">
        <f t="shared" si="14"/>
        <v>4.3541666666666776</v>
      </c>
      <c r="K116" s="29">
        <f>Ticketsys!H116</f>
        <v>4.6458333333333446</v>
      </c>
      <c r="L116" t="s">
        <v>37</v>
      </c>
      <c r="M116" t="s">
        <v>1871</v>
      </c>
      <c r="N116" s="1" t="str">
        <f t="shared" si="8"/>
        <v>middle-haul flights</v>
      </c>
      <c r="O116" s="27">
        <f t="shared" si="15"/>
        <v>1.1874999999999998</v>
      </c>
      <c r="P116" t="s">
        <v>1614</v>
      </c>
      <c r="Q116">
        <f>Ticketsys!J116</f>
        <v>1</v>
      </c>
    </row>
    <row r="117" spans="1:17">
      <c r="A117" t="s">
        <v>1268</v>
      </c>
      <c r="B117" t="s">
        <v>1478</v>
      </c>
      <c r="C117" t="str">
        <f>IF(Ticketsys!C117=CONCATENATE("long","-","haul"," ","flights"),"YES","NO")</f>
        <v>NO</v>
      </c>
      <c r="D117">
        <f t="shared" si="9"/>
        <v>325</v>
      </c>
      <c r="E117">
        <f t="shared" si="10"/>
        <v>65</v>
      </c>
      <c r="F117">
        <f t="shared" si="11"/>
        <v>65</v>
      </c>
      <c r="G117">
        <f t="shared" si="12"/>
        <v>195</v>
      </c>
      <c r="H117" s="2">
        <f t="shared" si="16"/>
        <v>42460</v>
      </c>
      <c r="I117" s="26">
        <f t="shared" si="14"/>
        <v>4.3923611111111223</v>
      </c>
      <c r="K117" s="29">
        <f>Ticketsys!H117</f>
        <v>4.6840277777777892</v>
      </c>
      <c r="L117" t="s">
        <v>37</v>
      </c>
      <c r="M117" t="s">
        <v>1893</v>
      </c>
      <c r="N117" s="1" t="str">
        <f t="shared" si="8"/>
        <v>middle-haul flights</v>
      </c>
      <c r="O117" s="27">
        <f t="shared" si="15"/>
        <v>1.1979166666666665</v>
      </c>
      <c r="P117" t="s">
        <v>1614</v>
      </c>
      <c r="Q117">
        <f>Ticketsys!J117</f>
        <v>1</v>
      </c>
    </row>
    <row r="118" spans="1:17">
      <c r="A118" t="s">
        <v>1269</v>
      </c>
      <c r="B118" t="s">
        <v>1479</v>
      </c>
      <c r="C118" t="str">
        <f>IF(Ticketsys!C118=CONCATENATE("long","-","haul"," ","flights"),"YES","NO")</f>
        <v>NO</v>
      </c>
      <c r="D118">
        <f t="shared" si="9"/>
        <v>325</v>
      </c>
      <c r="E118">
        <f t="shared" si="10"/>
        <v>65</v>
      </c>
      <c r="F118">
        <f t="shared" si="11"/>
        <v>65</v>
      </c>
      <c r="G118">
        <f t="shared" si="12"/>
        <v>195</v>
      </c>
      <c r="H118" s="2">
        <f t="shared" si="16"/>
        <v>42480</v>
      </c>
      <c r="I118" s="26">
        <f t="shared" si="14"/>
        <v>4.4305555555555669</v>
      </c>
      <c r="K118" s="29">
        <f>Ticketsys!H118</f>
        <v>4.7222222222222339</v>
      </c>
      <c r="L118" t="s">
        <v>37</v>
      </c>
      <c r="M118" t="s">
        <v>1625</v>
      </c>
      <c r="N118" s="1" t="str">
        <f t="shared" si="8"/>
        <v>middle-haul flights</v>
      </c>
      <c r="O118" s="27">
        <f t="shared" si="15"/>
        <v>1.2083333333333333</v>
      </c>
      <c r="P118" t="s">
        <v>1614</v>
      </c>
      <c r="Q118">
        <f>Ticketsys!J118</f>
        <v>1</v>
      </c>
    </row>
    <row r="119" spans="1:17">
      <c r="A119" t="s">
        <v>1270</v>
      </c>
      <c r="B119" t="s">
        <v>1480</v>
      </c>
      <c r="C119" t="str">
        <f>IF(Ticketsys!C119=CONCATENATE("long","-","haul"," ","flights"),"YES","NO")</f>
        <v>NO</v>
      </c>
      <c r="D119">
        <f t="shared" si="9"/>
        <v>325</v>
      </c>
      <c r="E119">
        <f t="shared" si="10"/>
        <v>65</v>
      </c>
      <c r="F119">
        <f t="shared" si="11"/>
        <v>65</v>
      </c>
      <c r="G119">
        <f t="shared" si="12"/>
        <v>195</v>
      </c>
      <c r="H119" s="2">
        <f t="shared" si="16"/>
        <v>42500</v>
      </c>
      <c r="I119" s="26">
        <f t="shared" si="14"/>
        <v>4.4687500000000115</v>
      </c>
      <c r="K119" s="29">
        <f>Ticketsys!H119</f>
        <v>4.7604166666666785</v>
      </c>
      <c r="L119" t="s">
        <v>37</v>
      </c>
      <c r="M119" t="s">
        <v>1631</v>
      </c>
      <c r="N119" s="1" t="str">
        <f t="shared" si="8"/>
        <v>middle-haul flights</v>
      </c>
      <c r="O119" s="27">
        <f t="shared" si="15"/>
        <v>1.21875</v>
      </c>
      <c r="P119" t="s">
        <v>1614</v>
      </c>
      <c r="Q119">
        <f>Ticketsys!J119</f>
        <v>1</v>
      </c>
    </row>
    <row r="120" spans="1:17">
      <c r="A120" t="s">
        <v>1271</v>
      </c>
      <c r="B120" t="s">
        <v>1481</v>
      </c>
      <c r="C120" t="str">
        <f>IF(Ticketsys!C120=CONCATENATE("long","-","haul"," ","flights"),"YES","NO")</f>
        <v>NO</v>
      </c>
      <c r="D120">
        <f t="shared" si="9"/>
        <v>325</v>
      </c>
      <c r="E120">
        <f t="shared" si="10"/>
        <v>65</v>
      </c>
      <c r="F120">
        <f t="shared" si="11"/>
        <v>65</v>
      </c>
      <c r="G120">
        <f t="shared" si="12"/>
        <v>195</v>
      </c>
      <c r="H120" s="2">
        <f t="shared" si="16"/>
        <v>42520</v>
      </c>
      <c r="I120" s="26">
        <f t="shared" si="14"/>
        <v>4.5069444444444562</v>
      </c>
      <c r="K120" s="29">
        <f>Ticketsys!H120</f>
        <v>4.7986111111111232</v>
      </c>
      <c r="L120" t="s">
        <v>37</v>
      </c>
      <c r="M120" t="s">
        <v>1892</v>
      </c>
      <c r="N120" s="1" t="str">
        <f t="shared" si="8"/>
        <v>middle-haul flights</v>
      </c>
      <c r="O120" s="27">
        <f t="shared" si="15"/>
        <v>1.2291666666666667</v>
      </c>
      <c r="P120" t="s">
        <v>1614</v>
      </c>
      <c r="Q120">
        <f>Ticketsys!J120</f>
        <v>1</v>
      </c>
    </row>
    <row r="121" spans="1:17">
      <c r="A121" t="s">
        <v>1272</v>
      </c>
      <c r="B121" t="s">
        <v>1482</v>
      </c>
      <c r="C121" t="str">
        <f>IF(Ticketsys!C121=CONCATENATE("long","-","haul"," ","flights"),"YES","NO")</f>
        <v>NO</v>
      </c>
      <c r="D121">
        <f t="shared" si="9"/>
        <v>325</v>
      </c>
      <c r="E121">
        <f t="shared" si="10"/>
        <v>65</v>
      </c>
      <c r="F121">
        <f t="shared" si="11"/>
        <v>65</v>
      </c>
      <c r="G121">
        <f t="shared" si="12"/>
        <v>195</v>
      </c>
      <c r="H121" s="2">
        <f t="shared" si="16"/>
        <v>42540</v>
      </c>
      <c r="I121" s="26">
        <f t="shared" si="14"/>
        <v>4.5451388888889008</v>
      </c>
      <c r="K121" s="29">
        <f>Ticketsys!H121</f>
        <v>4.8368055555555678</v>
      </c>
      <c r="L121" t="s">
        <v>37</v>
      </c>
      <c r="M121" t="s">
        <v>1891</v>
      </c>
      <c r="N121" s="1" t="str">
        <f t="shared" si="8"/>
        <v>middle-haul flights</v>
      </c>
      <c r="O121" s="27">
        <f t="shared" si="15"/>
        <v>1.2395833333333335</v>
      </c>
      <c r="P121" t="s">
        <v>1612</v>
      </c>
      <c r="Q121">
        <f>Ticketsys!J121</f>
        <v>1</v>
      </c>
    </row>
    <row r="122" spans="1:17">
      <c r="A122" t="s">
        <v>1273</v>
      </c>
      <c r="B122" t="s">
        <v>1483</v>
      </c>
      <c r="C122" t="str">
        <f>IF(Ticketsys!C122=CONCATENATE("long","-","haul"," ","flights"),"YES","NO")</f>
        <v>NO</v>
      </c>
      <c r="D122">
        <f t="shared" si="9"/>
        <v>325</v>
      </c>
      <c r="E122">
        <f t="shared" si="10"/>
        <v>65</v>
      </c>
      <c r="F122">
        <f t="shared" si="11"/>
        <v>65</v>
      </c>
      <c r="G122">
        <f t="shared" si="12"/>
        <v>195</v>
      </c>
      <c r="H122" s="2">
        <f t="shared" si="16"/>
        <v>42560</v>
      </c>
      <c r="I122" s="26">
        <f t="shared" si="14"/>
        <v>4.5833333333333455</v>
      </c>
      <c r="K122" s="29">
        <f>Ticketsys!H122</f>
        <v>4.8750000000000124</v>
      </c>
      <c r="L122" t="s">
        <v>37</v>
      </c>
      <c r="M122" t="s">
        <v>1890</v>
      </c>
      <c r="N122" s="1" t="str">
        <f t="shared" si="8"/>
        <v>middle-haul flights</v>
      </c>
      <c r="O122" s="27">
        <f t="shared" si="15"/>
        <v>1.2500000000000002</v>
      </c>
      <c r="P122" t="s">
        <v>1614</v>
      </c>
      <c r="Q122">
        <f>Ticketsys!J122</f>
        <v>1</v>
      </c>
    </row>
    <row r="123" spans="1:17">
      <c r="A123" t="s">
        <v>1274</v>
      </c>
      <c r="B123" t="s">
        <v>1484</v>
      </c>
      <c r="C123" t="str">
        <f>IF(Ticketsys!C123=CONCATENATE("long","-","haul"," ","flights"),"YES","NO")</f>
        <v>NO</v>
      </c>
      <c r="D123">
        <f t="shared" si="9"/>
        <v>325</v>
      </c>
      <c r="E123">
        <f t="shared" si="10"/>
        <v>65</v>
      </c>
      <c r="F123">
        <f t="shared" si="11"/>
        <v>65</v>
      </c>
      <c r="G123">
        <f t="shared" si="12"/>
        <v>195</v>
      </c>
      <c r="H123" s="2">
        <f t="shared" si="16"/>
        <v>42580</v>
      </c>
      <c r="I123" s="26">
        <f t="shared" si="14"/>
        <v>4.6215277777777901</v>
      </c>
      <c r="K123" s="29">
        <f>Ticketsys!H123</f>
        <v>4.9131944444444571</v>
      </c>
      <c r="L123" t="s">
        <v>37</v>
      </c>
      <c r="M123" t="s">
        <v>1889</v>
      </c>
      <c r="N123" s="1" t="str">
        <f t="shared" si="8"/>
        <v>middle-haul flights</v>
      </c>
      <c r="O123" s="27">
        <f t="shared" si="15"/>
        <v>1.260416666666667</v>
      </c>
      <c r="P123" t="s">
        <v>1612</v>
      </c>
      <c r="Q123">
        <f>Ticketsys!J123</f>
        <v>1</v>
      </c>
    </row>
    <row r="124" spans="1:17">
      <c r="A124" t="s">
        <v>1275</v>
      </c>
      <c r="B124" t="s">
        <v>1485</v>
      </c>
      <c r="C124" t="str">
        <f>IF(Ticketsys!C124=CONCATENATE("long","-","haul"," ","flights"),"YES","NO")</f>
        <v>NO</v>
      </c>
      <c r="D124">
        <f t="shared" si="9"/>
        <v>325</v>
      </c>
      <c r="E124">
        <f t="shared" si="10"/>
        <v>65</v>
      </c>
      <c r="F124">
        <f t="shared" si="11"/>
        <v>65</v>
      </c>
      <c r="G124">
        <f t="shared" si="12"/>
        <v>195</v>
      </c>
      <c r="H124" s="2">
        <f t="shared" si="16"/>
        <v>42600</v>
      </c>
      <c r="I124" s="26">
        <f t="shared" si="14"/>
        <v>4.6597222222222348</v>
      </c>
      <c r="K124" s="29">
        <f>Ticketsys!H124</f>
        <v>4.9513888888889017</v>
      </c>
      <c r="L124" t="s">
        <v>37</v>
      </c>
      <c r="M124" t="s">
        <v>1656</v>
      </c>
      <c r="N124" s="1" t="str">
        <f t="shared" si="8"/>
        <v>middle-haul flights</v>
      </c>
      <c r="O124" s="27">
        <f t="shared" si="15"/>
        <v>1.2708333333333337</v>
      </c>
      <c r="P124" t="s">
        <v>1612</v>
      </c>
      <c r="Q124">
        <f>Ticketsys!J124</f>
        <v>1</v>
      </c>
    </row>
    <row r="125" spans="1:17">
      <c r="A125" t="s">
        <v>1276</v>
      </c>
      <c r="B125" t="s">
        <v>1486</v>
      </c>
      <c r="C125" t="str">
        <f>IF(Ticketsys!C125=CONCATENATE("long","-","haul"," ","flights"),"YES","NO")</f>
        <v>NO</v>
      </c>
      <c r="D125">
        <f t="shared" si="9"/>
        <v>325</v>
      </c>
      <c r="E125">
        <f t="shared" si="10"/>
        <v>65</v>
      </c>
      <c r="F125">
        <f t="shared" si="11"/>
        <v>65</v>
      </c>
      <c r="G125">
        <f t="shared" si="12"/>
        <v>195</v>
      </c>
      <c r="H125" s="2">
        <f t="shared" si="16"/>
        <v>42620</v>
      </c>
      <c r="I125" s="26">
        <f t="shared" si="14"/>
        <v>4.6979166666666794</v>
      </c>
      <c r="K125" s="29">
        <f>Ticketsys!H125</f>
        <v>4.9895833333333464</v>
      </c>
      <c r="L125" t="s">
        <v>37</v>
      </c>
      <c r="M125" t="s">
        <v>1662</v>
      </c>
      <c r="N125" s="1" t="str">
        <f t="shared" si="8"/>
        <v>middle-haul flights</v>
      </c>
      <c r="O125" s="27">
        <f t="shared" si="15"/>
        <v>1.2812500000000004</v>
      </c>
      <c r="P125" t="s">
        <v>2759</v>
      </c>
      <c r="Q125">
        <f>Ticketsys!J125</f>
        <v>1</v>
      </c>
    </row>
    <row r="126" spans="1:17">
      <c r="A126" t="s">
        <v>1277</v>
      </c>
      <c r="B126" t="s">
        <v>1487</v>
      </c>
      <c r="C126" t="str">
        <f>IF(Ticketsys!C126=CONCATENATE("long","-","haul"," ","flights"),"YES","NO")</f>
        <v>NO</v>
      </c>
      <c r="D126">
        <f t="shared" si="9"/>
        <v>325</v>
      </c>
      <c r="E126">
        <f t="shared" si="10"/>
        <v>65</v>
      </c>
      <c r="F126">
        <f t="shared" si="11"/>
        <v>65</v>
      </c>
      <c r="G126">
        <f t="shared" si="12"/>
        <v>195</v>
      </c>
      <c r="H126" s="2">
        <f t="shared" si="16"/>
        <v>42640</v>
      </c>
      <c r="I126" s="26">
        <f t="shared" si="14"/>
        <v>4.736111111111124</v>
      </c>
      <c r="K126" s="29">
        <f>Ticketsys!H126</f>
        <v>5.027777777777791</v>
      </c>
      <c r="L126" t="s">
        <v>37</v>
      </c>
      <c r="M126" t="s">
        <v>1667</v>
      </c>
      <c r="N126" s="1" t="str">
        <f t="shared" si="8"/>
        <v>middle-haul flights</v>
      </c>
      <c r="O126" s="27">
        <f t="shared" si="15"/>
        <v>1.2916666666666672</v>
      </c>
      <c r="P126" t="s">
        <v>1614</v>
      </c>
      <c r="Q126">
        <f>Ticketsys!J126</f>
        <v>1</v>
      </c>
    </row>
    <row r="127" spans="1:17">
      <c r="A127" t="s">
        <v>1278</v>
      </c>
      <c r="B127" t="s">
        <v>1488</v>
      </c>
      <c r="C127" t="str">
        <f>IF(Ticketsys!C127=CONCATENATE("long","-","haul"," ","flights"),"YES","NO")</f>
        <v>NO</v>
      </c>
      <c r="D127">
        <f t="shared" si="9"/>
        <v>325</v>
      </c>
      <c r="E127">
        <f t="shared" si="10"/>
        <v>65</v>
      </c>
      <c r="F127">
        <f t="shared" si="11"/>
        <v>65</v>
      </c>
      <c r="G127">
        <f t="shared" si="12"/>
        <v>195</v>
      </c>
      <c r="H127" s="2">
        <f t="shared" si="16"/>
        <v>42660</v>
      </c>
      <c r="I127" s="26">
        <f t="shared" si="14"/>
        <v>4.7743055555555687</v>
      </c>
      <c r="K127" s="29">
        <f>Ticketsys!H127</f>
        <v>5.0659722222222356</v>
      </c>
      <c r="L127" t="s">
        <v>37</v>
      </c>
      <c r="M127" t="s">
        <v>1672</v>
      </c>
      <c r="N127" s="1" t="str">
        <f t="shared" ref="N127:N167" si="17">CONCATENATE("middle","-","haul"," ","flights")</f>
        <v>middle-haul flights</v>
      </c>
      <c r="O127" s="27">
        <f t="shared" si="15"/>
        <v>1.3020833333333339</v>
      </c>
      <c r="P127" t="s">
        <v>1614</v>
      </c>
      <c r="Q127">
        <f>Ticketsys!J127</f>
        <v>1</v>
      </c>
    </row>
    <row r="128" spans="1:17">
      <c r="A128" t="s">
        <v>1279</v>
      </c>
      <c r="B128" t="s">
        <v>1489</v>
      </c>
      <c r="C128" t="str">
        <f>IF(Ticketsys!C128=CONCATENATE("long","-","haul"," ","flights"),"YES","NO")</f>
        <v>NO</v>
      </c>
      <c r="D128">
        <f t="shared" si="9"/>
        <v>325</v>
      </c>
      <c r="E128">
        <f t="shared" si="10"/>
        <v>65</v>
      </c>
      <c r="F128">
        <f t="shared" si="11"/>
        <v>65</v>
      </c>
      <c r="G128">
        <f t="shared" si="12"/>
        <v>195</v>
      </c>
      <c r="H128" s="2">
        <f t="shared" si="16"/>
        <v>42680</v>
      </c>
      <c r="I128" s="26">
        <f t="shared" si="14"/>
        <v>4.8125000000000133</v>
      </c>
      <c r="K128" s="29">
        <f>Ticketsys!H128</f>
        <v>5.1041666666666803</v>
      </c>
      <c r="L128" t="s">
        <v>37</v>
      </c>
      <c r="M128" t="s">
        <v>1678</v>
      </c>
      <c r="N128" s="1" t="str">
        <f t="shared" si="17"/>
        <v>middle-haul flights</v>
      </c>
      <c r="O128" s="27">
        <f t="shared" si="15"/>
        <v>1.3125000000000007</v>
      </c>
      <c r="P128" t="s">
        <v>1614</v>
      </c>
      <c r="Q128">
        <f>Ticketsys!J128</f>
        <v>1</v>
      </c>
    </row>
    <row r="129" spans="1:17">
      <c r="A129" t="s">
        <v>1280</v>
      </c>
      <c r="B129" t="s">
        <v>1490</v>
      </c>
      <c r="C129" t="str">
        <f>IF(Ticketsys!C129=CONCATENATE("long","-","haul"," ","flights"),"YES","NO")</f>
        <v>NO</v>
      </c>
      <c r="D129">
        <f t="shared" si="9"/>
        <v>325</v>
      </c>
      <c r="E129">
        <f t="shared" si="10"/>
        <v>65</v>
      </c>
      <c r="F129">
        <f t="shared" si="11"/>
        <v>65</v>
      </c>
      <c r="G129">
        <f t="shared" si="12"/>
        <v>195</v>
      </c>
      <c r="H129" s="2">
        <f t="shared" si="16"/>
        <v>42700</v>
      </c>
      <c r="I129" s="26">
        <f t="shared" si="14"/>
        <v>4.850694444444458</v>
      </c>
      <c r="K129" s="29">
        <f>Ticketsys!H129</f>
        <v>5.1423611111111249</v>
      </c>
      <c r="L129" t="s">
        <v>37</v>
      </c>
      <c r="M129" t="s">
        <v>1888</v>
      </c>
      <c r="N129" s="1" t="str">
        <f t="shared" si="17"/>
        <v>middle-haul flights</v>
      </c>
      <c r="O129" s="27">
        <f t="shared" si="15"/>
        <v>1.3229166666666674</v>
      </c>
      <c r="P129" t="s">
        <v>1614</v>
      </c>
      <c r="Q129">
        <f>Ticketsys!J129</f>
        <v>1</v>
      </c>
    </row>
    <row r="130" spans="1:17">
      <c r="A130" t="s">
        <v>1281</v>
      </c>
      <c r="B130" t="s">
        <v>1491</v>
      </c>
      <c r="C130" t="str">
        <f>IF(Ticketsys!C130=CONCATENATE("long","-","haul"," ","flights"),"YES","NO")</f>
        <v>NO</v>
      </c>
      <c r="D130">
        <f t="shared" si="9"/>
        <v>325</v>
      </c>
      <c r="E130">
        <f t="shared" si="10"/>
        <v>65</v>
      </c>
      <c r="F130">
        <f t="shared" si="11"/>
        <v>65</v>
      </c>
      <c r="G130">
        <f t="shared" si="12"/>
        <v>195</v>
      </c>
      <c r="H130" s="2">
        <f t="shared" si="16"/>
        <v>42720</v>
      </c>
      <c r="I130" s="26">
        <f t="shared" si="14"/>
        <v>4.8888888888889026</v>
      </c>
      <c r="K130" s="29">
        <f>Ticketsys!H130</f>
        <v>5.1805555555555696</v>
      </c>
      <c r="L130" t="s">
        <v>37</v>
      </c>
      <c r="M130" t="s">
        <v>1887</v>
      </c>
      <c r="N130" s="1" t="str">
        <f t="shared" si="17"/>
        <v>middle-haul flights</v>
      </c>
      <c r="O130" s="27">
        <f t="shared" si="15"/>
        <v>1.3333333333333341</v>
      </c>
      <c r="P130" t="s">
        <v>1614</v>
      </c>
      <c r="Q130">
        <f>Ticketsys!J130</f>
        <v>1</v>
      </c>
    </row>
    <row r="131" spans="1:17">
      <c r="A131" t="s">
        <v>1282</v>
      </c>
      <c r="B131" t="s">
        <v>1492</v>
      </c>
      <c r="C131" t="str">
        <f>IF(Ticketsys!C131=CONCATENATE("long","-","haul"," ","flights"),"YES","NO")</f>
        <v>NO</v>
      </c>
      <c r="D131">
        <f t="shared" ref="D131:D194" si="18">IF(B131=CONCATENATE("Airbus","A220"),135,(IF(B131=CONCATENATE("Airbus","A320"),150,325)))</f>
        <v>325</v>
      </c>
      <c r="E131">
        <f t="shared" ref="E131:E194" si="19">D131*(20/100)</f>
        <v>65</v>
      </c>
      <c r="F131">
        <f t="shared" ref="F131:F194" si="20">D131*(20/100)</f>
        <v>65</v>
      </c>
      <c r="G131">
        <f t="shared" ref="G131:G194" si="21">D131*(60/100)</f>
        <v>195</v>
      </c>
      <c r="H131" s="2">
        <f t="shared" si="16"/>
        <v>42740</v>
      </c>
      <c r="I131" s="26">
        <f t="shared" si="14"/>
        <v>4.9270833333333472</v>
      </c>
      <c r="K131" s="29">
        <f>Ticketsys!H131</f>
        <v>5.2187500000000142</v>
      </c>
      <c r="L131" t="s">
        <v>37</v>
      </c>
      <c r="M131" t="s">
        <v>1693</v>
      </c>
      <c r="N131" s="1" t="str">
        <f t="shared" si="17"/>
        <v>middle-haul flights</v>
      </c>
      <c r="O131" s="27">
        <f t="shared" si="15"/>
        <v>1.3437500000000009</v>
      </c>
      <c r="P131" t="s">
        <v>1614</v>
      </c>
      <c r="Q131">
        <f>Ticketsys!J131</f>
        <v>1</v>
      </c>
    </row>
    <row r="132" spans="1:17">
      <c r="A132" t="s">
        <v>1283</v>
      </c>
      <c r="B132" t="s">
        <v>1493</v>
      </c>
      <c r="C132" t="str">
        <f>IF(Ticketsys!C132=CONCATENATE("long","-","haul"," ","flights"),"YES","NO")</f>
        <v>NO</v>
      </c>
      <c r="D132">
        <f t="shared" si="18"/>
        <v>325</v>
      </c>
      <c r="E132">
        <f t="shared" si="19"/>
        <v>65</v>
      </c>
      <c r="F132">
        <f t="shared" si="20"/>
        <v>65</v>
      </c>
      <c r="G132">
        <f t="shared" si="21"/>
        <v>195</v>
      </c>
      <c r="H132" s="2">
        <f t="shared" si="16"/>
        <v>42760</v>
      </c>
      <c r="I132" s="26">
        <f t="shared" ref="I132:I195" si="22">I131+"00:55:00"</f>
        <v>4.9652777777777919</v>
      </c>
      <c r="K132" s="29">
        <f>Ticketsys!H132</f>
        <v>5.2569444444444589</v>
      </c>
      <c r="L132" t="s">
        <v>37</v>
      </c>
      <c r="M132" t="s">
        <v>1886</v>
      </c>
      <c r="N132" s="1" t="str">
        <f t="shared" si="17"/>
        <v>middle-haul flights</v>
      </c>
      <c r="O132" s="27">
        <f t="shared" ref="O132:O195" si="23">O131+"00:15:00"</f>
        <v>1.3541666666666676</v>
      </c>
      <c r="P132" t="s">
        <v>1614</v>
      </c>
      <c r="Q132">
        <f>Ticketsys!J132</f>
        <v>1</v>
      </c>
    </row>
    <row r="133" spans="1:17">
      <c r="A133" t="s">
        <v>1284</v>
      </c>
      <c r="B133" t="s">
        <v>1494</v>
      </c>
      <c r="C133" t="str">
        <f>IF(Ticketsys!C133=CONCATENATE("long","-","haul"," ","flights"),"YES","NO")</f>
        <v>NO</v>
      </c>
      <c r="D133">
        <f t="shared" si="18"/>
        <v>325</v>
      </c>
      <c r="E133">
        <f t="shared" si="19"/>
        <v>65</v>
      </c>
      <c r="F133">
        <f t="shared" si="20"/>
        <v>65</v>
      </c>
      <c r="G133">
        <f t="shared" si="21"/>
        <v>195</v>
      </c>
      <c r="H133" s="2">
        <f t="shared" si="16"/>
        <v>42780</v>
      </c>
      <c r="I133" s="26">
        <f t="shared" si="22"/>
        <v>5.0034722222222365</v>
      </c>
      <c r="K133" s="29">
        <f>Ticketsys!H133</f>
        <v>5.2951388888889035</v>
      </c>
      <c r="L133" t="s">
        <v>37</v>
      </c>
      <c r="M133" t="s">
        <v>1885</v>
      </c>
      <c r="N133" s="1" t="str">
        <f t="shared" si="17"/>
        <v>middle-haul flights</v>
      </c>
      <c r="O133" s="27">
        <f t="shared" si="23"/>
        <v>1.3645833333333344</v>
      </c>
      <c r="P133" t="s">
        <v>2759</v>
      </c>
      <c r="Q133">
        <f>Ticketsys!J133</f>
        <v>1</v>
      </c>
    </row>
    <row r="134" spans="1:17">
      <c r="A134" t="s">
        <v>1285</v>
      </c>
      <c r="B134" t="s">
        <v>1495</v>
      </c>
      <c r="C134" t="str">
        <f>IF(Ticketsys!C134=CONCATENATE("long","-","haul"," ","flights"),"YES","NO")</f>
        <v>NO</v>
      </c>
      <c r="D134">
        <f t="shared" si="18"/>
        <v>325</v>
      </c>
      <c r="E134">
        <f t="shared" si="19"/>
        <v>65</v>
      </c>
      <c r="F134">
        <f t="shared" si="20"/>
        <v>65</v>
      </c>
      <c r="G134">
        <f t="shared" si="21"/>
        <v>195</v>
      </c>
      <c r="H134" s="2">
        <f t="shared" si="16"/>
        <v>42800</v>
      </c>
      <c r="I134" s="26">
        <f t="shared" si="22"/>
        <v>5.0416666666666812</v>
      </c>
      <c r="K134" s="29">
        <f>Ticketsys!H134</f>
        <v>5.3333333333333481</v>
      </c>
      <c r="L134" t="s">
        <v>37</v>
      </c>
      <c r="M134" t="s">
        <v>1884</v>
      </c>
      <c r="N134" s="1" t="str">
        <f t="shared" si="17"/>
        <v>middle-haul flights</v>
      </c>
      <c r="O134" s="27">
        <f t="shared" si="23"/>
        <v>1.3750000000000011</v>
      </c>
      <c r="P134" t="s">
        <v>2759</v>
      </c>
      <c r="Q134">
        <f>Ticketsys!J134</f>
        <v>1</v>
      </c>
    </row>
    <row r="135" spans="1:17">
      <c r="A135" t="s">
        <v>1286</v>
      </c>
      <c r="B135" t="s">
        <v>1496</v>
      </c>
      <c r="C135" t="str">
        <f>IF(Ticketsys!C135=CONCATENATE("long","-","haul"," ","flights"),"YES","NO")</f>
        <v>NO</v>
      </c>
      <c r="D135">
        <f t="shared" si="18"/>
        <v>325</v>
      </c>
      <c r="E135">
        <f t="shared" si="19"/>
        <v>65</v>
      </c>
      <c r="F135">
        <f t="shared" si="20"/>
        <v>65</v>
      </c>
      <c r="G135">
        <f t="shared" si="21"/>
        <v>195</v>
      </c>
      <c r="H135" s="2">
        <f t="shared" si="16"/>
        <v>42820</v>
      </c>
      <c r="I135" s="26">
        <f t="shared" si="22"/>
        <v>5.0798611111111258</v>
      </c>
      <c r="K135" s="29">
        <f>Ticketsys!H135</f>
        <v>5.3715277777777928</v>
      </c>
      <c r="L135" t="s">
        <v>37</v>
      </c>
      <c r="M135" t="s">
        <v>1712</v>
      </c>
      <c r="N135" s="1" t="str">
        <f t="shared" si="17"/>
        <v>middle-haul flights</v>
      </c>
      <c r="O135" s="27">
        <f t="shared" si="23"/>
        <v>1.3854166666666679</v>
      </c>
      <c r="P135" t="s">
        <v>1612</v>
      </c>
      <c r="Q135">
        <f>Ticketsys!J135</f>
        <v>1</v>
      </c>
    </row>
    <row r="136" spans="1:17">
      <c r="A136" t="s">
        <v>1287</v>
      </c>
      <c r="B136" t="s">
        <v>1497</v>
      </c>
      <c r="C136" t="str">
        <f>IF(Ticketsys!C136=CONCATENATE("long","-","haul"," ","flights"),"YES","NO")</f>
        <v>NO</v>
      </c>
      <c r="D136">
        <f t="shared" si="18"/>
        <v>325</v>
      </c>
      <c r="E136">
        <f t="shared" si="19"/>
        <v>65</v>
      </c>
      <c r="F136">
        <f t="shared" si="20"/>
        <v>65</v>
      </c>
      <c r="G136">
        <f t="shared" si="21"/>
        <v>195</v>
      </c>
      <c r="H136" s="2">
        <f t="shared" si="16"/>
        <v>42840</v>
      </c>
      <c r="I136" s="26">
        <f t="shared" si="22"/>
        <v>5.1180555555555705</v>
      </c>
      <c r="K136" s="29">
        <f>Ticketsys!H136</f>
        <v>5.4097222222222374</v>
      </c>
      <c r="L136" t="s">
        <v>37</v>
      </c>
      <c r="M136" t="s">
        <v>1717</v>
      </c>
      <c r="N136" s="1" t="str">
        <f t="shared" si="17"/>
        <v>middle-haul flights</v>
      </c>
      <c r="O136" s="27">
        <f t="shared" si="23"/>
        <v>1.3958333333333346</v>
      </c>
      <c r="P136" t="s">
        <v>1613</v>
      </c>
      <c r="Q136">
        <f>Ticketsys!J136</f>
        <v>1</v>
      </c>
    </row>
    <row r="137" spans="1:17">
      <c r="A137" t="s">
        <v>1288</v>
      </c>
      <c r="B137" t="s">
        <v>1498</v>
      </c>
      <c r="C137" t="str">
        <f>IF(Ticketsys!C137=CONCATENATE("long","-","haul"," ","flights"),"YES","NO")</f>
        <v>NO</v>
      </c>
      <c r="D137">
        <f t="shared" si="18"/>
        <v>325</v>
      </c>
      <c r="E137">
        <f t="shared" si="19"/>
        <v>65</v>
      </c>
      <c r="F137">
        <f t="shared" si="20"/>
        <v>65</v>
      </c>
      <c r="G137">
        <f t="shared" si="21"/>
        <v>195</v>
      </c>
      <c r="H137" s="2">
        <f t="shared" si="16"/>
        <v>42860</v>
      </c>
      <c r="I137" s="26">
        <f t="shared" si="22"/>
        <v>5.1562500000000151</v>
      </c>
      <c r="K137" s="29">
        <f>Ticketsys!H137</f>
        <v>5.4479166666666821</v>
      </c>
      <c r="L137" t="s">
        <v>37</v>
      </c>
      <c r="M137" t="s">
        <v>1883</v>
      </c>
      <c r="N137" s="1" t="str">
        <f t="shared" si="17"/>
        <v>middle-haul flights</v>
      </c>
      <c r="O137" s="27">
        <f t="shared" si="23"/>
        <v>1.4062500000000013</v>
      </c>
      <c r="P137" t="s">
        <v>1612</v>
      </c>
      <c r="Q137">
        <f>Ticketsys!J137</f>
        <v>1</v>
      </c>
    </row>
    <row r="138" spans="1:17">
      <c r="A138" t="s">
        <v>1289</v>
      </c>
      <c r="B138" t="s">
        <v>1499</v>
      </c>
      <c r="C138" t="str">
        <f>IF(Ticketsys!C138=CONCATENATE("long","-","haul"," ","flights"),"YES","NO")</f>
        <v>NO</v>
      </c>
      <c r="D138">
        <f t="shared" si="18"/>
        <v>325</v>
      </c>
      <c r="E138">
        <f t="shared" si="19"/>
        <v>65</v>
      </c>
      <c r="F138">
        <f t="shared" si="20"/>
        <v>65</v>
      </c>
      <c r="G138">
        <f t="shared" si="21"/>
        <v>195</v>
      </c>
      <c r="H138" s="2">
        <f t="shared" si="16"/>
        <v>42880</v>
      </c>
      <c r="I138" s="26">
        <f t="shared" si="22"/>
        <v>5.1944444444444597</v>
      </c>
      <c r="K138" s="29">
        <f>Ticketsys!H138</f>
        <v>5.4861111111111267</v>
      </c>
      <c r="L138" t="s">
        <v>37</v>
      </c>
      <c r="M138" t="s">
        <v>1727</v>
      </c>
      <c r="N138" s="1" t="str">
        <f t="shared" si="17"/>
        <v>middle-haul flights</v>
      </c>
      <c r="O138" s="27">
        <f t="shared" si="23"/>
        <v>1.4166666666666681</v>
      </c>
      <c r="P138" t="s">
        <v>1614</v>
      </c>
      <c r="Q138">
        <f>Ticketsys!J138</f>
        <v>1</v>
      </c>
    </row>
    <row r="139" spans="1:17">
      <c r="A139" t="s">
        <v>1290</v>
      </c>
      <c r="B139" t="s">
        <v>1500</v>
      </c>
      <c r="C139" t="str">
        <f>IF(Ticketsys!C139=CONCATENATE("long","-","haul"," ","flights"),"YES","NO")</f>
        <v>NO</v>
      </c>
      <c r="D139">
        <f t="shared" si="18"/>
        <v>325</v>
      </c>
      <c r="E139">
        <f t="shared" si="19"/>
        <v>65</v>
      </c>
      <c r="F139">
        <f t="shared" si="20"/>
        <v>65</v>
      </c>
      <c r="G139">
        <f t="shared" si="21"/>
        <v>195</v>
      </c>
      <c r="H139" s="2">
        <f t="shared" si="16"/>
        <v>42900</v>
      </c>
      <c r="I139" s="26">
        <f t="shared" si="22"/>
        <v>5.2326388888889044</v>
      </c>
      <c r="K139" s="29">
        <f>Ticketsys!H139</f>
        <v>5.5243055555555713</v>
      </c>
      <c r="L139" t="s">
        <v>37</v>
      </c>
      <c r="M139" t="s">
        <v>1732</v>
      </c>
      <c r="N139" s="1" t="str">
        <f t="shared" si="17"/>
        <v>middle-haul flights</v>
      </c>
      <c r="O139" s="27">
        <f t="shared" si="23"/>
        <v>1.4270833333333348</v>
      </c>
      <c r="P139" t="s">
        <v>1614</v>
      </c>
      <c r="Q139">
        <f>Ticketsys!J139</f>
        <v>1</v>
      </c>
    </row>
    <row r="140" spans="1:17">
      <c r="A140" t="s">
        <v>1291</v>
      </c>
      <c r="B140" t="s">
        <v>1501</v>
      </c>
      <c r="C140" t="str">
        <f>IF(Ticketsys!C140=CONCATENATE("long","-","haul"," ","flights"),"YES","NO")</f>
        <v>NO</v>
      </c>
      <c r="D140">
        <f t="shared" si="18"/>
        <v>325</v>
      </c>
      <c r="E140">
        <f t="shared" si="19"/>
        <v>65</v>
      </c>
      <c r="F140">
        <f t="shared" si="20"/>
        <v>65</v>
      </c>
      <c r="G140">
        <f t="shared" si="21"/>
        <v>195</v>
      </c>
      <c r="H140" s="2">
        <f t="shared" si="16"/>
        <v>42920</v>
      </c>
      <c r="I140" s="26">
        <f t="shared" si="22"/>
        <v>5.270833333333349</v>
      </c>
      <c r="K140" s="29">
        <f>Ticketsys!H140</f>
        <v>5.562500000000016</v>
      </c>
      <c r="L140" t="s">
        <v>37</v>
      </c>
      <c r="M140" t="s">
        <v>1737</v>
      </c>
      <c r="N140" s="1" t="str">
        <f t="shared" si="17"/>
        <v>middle-haul flights</v>
      </c>
      <c r="O140" s="27">
        <f t="shared" si="23"/>
        <v>1.4375000000000016</v>
      </c>
      <c r="P140" t="s">
        <v>1614</v>
      </c>
      <c r="Q140">
        <f>Ticketsys!J140</f>
        <v>1</v>
      </c>
    </row>
    <row r="141" spans="1:17">
      <c r="A141" t="s">
        <v>1292</v>
      </c>
      <c r="B141" t="s">
        <v>1502</v>
      </c>
      <c r="C141" t="str">
        <f>IF(Ticketsys!C141=CONCATENATE("long","-","haul"," ","flights"),"YES","NO")</f>
        <v>NO</v>
      </c>
      <c r="D141">
        <f t="shared" si="18"/>
        <v>325</v>
      </c>
      <c r="E141">
        <f t="shared" si="19"/>
        <v>65</v>
      </c>
      <c r="F141">
        <f t="shared" si="20"/>
        <v>65</v>
      </c>
      <c r="G141">
        <f t="shared" si="21"/>
        <v>195</v>
      </c>
      <c r="H141" s="2">
        <f t="shared" si="16"/>
        <v>42940</v>
      </c>
      <c r="I141" s="26">
        <f t="shared" si="22"/>
        <v>5.3090277777777937</v>
      </c>
      <c r="K141" s="29">
        <f>Ticketsys!H141</f>
        <v>5.6006944444444606</v>
      </c>
      <c r="L141" t="s">
        <v>37</v>
      </c>
      <c r="M141" t="s">
        <v>1742</v>
      </c>
      <c r="N141" s="1" t="str">
        <f t="shared" si="17"/>
        <v>middle-haul flights</v>
      </c>
      <c r="O141" s="27">
        <f t="shared" si="23"/>
        <v>1.4479166666666683</v>
      </c>
      <c r="P141" t="s">
        <v>1614</v>
      </c>
      <c r="Q141">
        <f>Ticketsys!J141</f>
        <v>1</v>
      </c>
    </row>
    <row r="142" spans="1:17">
      <c r="A142" t="s">
        <v>1293</v>
      </c>
      <c r="B142" t="s">
        <v>1503</v>
      </c>
      <c r="C142" t="str">
        <f>IF(Ticketsys!C142=CONCATENATE("long","-","haul"," ","flights"),"YES","NO")</f>
        <v>NO</v>
      </c>
      <c r="D142">
        <f t="shared" si="18"/>
        <v>325</v>
      </c>
      <c r="E142">
        <f t="shared" si="19"/>
        <v>65</v>
      </c>
      <c r="F142">
        <f t="shared" si="20"/>
        <v>65</v>
      </c>
      <c r="G142">
        <f t="shared" si="21"/>
        <v>195</v>
      </c>
      <c r="H142" s="2">
        <f t="shared" si="16"/>
        <v>42960</v>
      </c>
      <c r="I142" s="26">
        <f t="shared" si="22"/>
        <v>5.3472222222222383</v>
      </c>
      <c r="K142" s="29">
        <f>Ticketsys!H142</f>
        <v>5.6388888888889053</v>
      </c>
      <c r="L142" t="s">
        <v>37</v>
      </c>
      <c r="M142" t="s">
        <v>1746</v>
      </c>
      <c r="N142" s="1" t="str">
        <f t="shared" si="17"/>
        <v>middle-haul flights</v>
      </c>
      <c r="O142" s="27">
        <f t="shared" si="23"/>
        <v>1.458333333333335</v>
      </c>
      <c r="P142" t="s">
        <v>1614</v>
      </c>
      <c r="Q142">
        <f>Ticketsys!J142</f>
        <v>1</v>
      </c>
    </row>
    <row r="143" spans="1:17">
      <c r="A143" t="s">
        <v>1294</v>
      </c>
      <c r="B143" t="s">
        <v>1504</v>
      </c>
      <c r="C143" t="str">
        <f>IF(Ticketsys!C143=CONCATENATE("long","-","haul"," ","flights"),"YES","NO")</f>
        <v>NO</v>
      </c>
      <c r="D143">
        <f t="shared" si="18"/>
        <v>325</v>
      </c>
      <c r="E143">
        <f t="shared" si="19"/>
        <v>65</v>
      </c>
      <c r="F143">
        <f t="shared" si="20"/>
        <v>65</v>
      </c>
      <c r="G143">
        <f t="shared" si="21"/>
        <v>195</v>
      </c>
      <c r="H143" s="2">
        <f t="shared" si="16"/>
        <v>42980</v>
      </c>
      <c r="I143" s="26">
        <f t="shared" si="22"/>
        <v>5.3854166666666829</v>
      </c>
      <c r="K143" s="29">
        <f>Ticketsys!H143</f>
        <v>5.6770833333333499</v>
      </c>
      <c r="L143" t="s">
        <v>37</v>
      </c>
      <c r="M143" t="s">
        <v>1751</v>
      </c>
      <c r="N143" s="1" t="str">
        <f t="shared" si="17"/>
        <v>middle-haul flights</v>
      </c>
      <c r="O143" s="27">
        <f t="shared" si="23"/>
        <v>1.4687500000000018</v>
      </c>
      <c r="P143" t="s">
        <v>1612</v>
      </c>
      <c r="Q143">
        <f>Ticketsys!J143</f>
        <v>1</v>
      </c>
    </row>
    <row r="144" spans="1:17">
      <c r="A144" t="s">
        <v>1295</v>
      </c>
      <c r="B144" t="s">
        <v>1505</v>
      </c>
      <c r="C144" t="str">
        <f>IF(Ticketsys!C144=CONCATENATE("long","-","haul"," ","flights"),"YES","NO")</f>
        <v>NO</v>
      </c>
      <c r="D144">
        <f t="shared" si="18"/>
        <v>325</v>
      </c>
      <c r="E144">
        <f t="shared" si="19"/>
        <v>65</v>
      </c>
      <c r="F144">
        <f t="shared" si="20"/>
        <v>65</v>
      </c>
      <c r="G144">
        <f t="shared" si="21"/>
        <v>195</v>
      </c>
      <c r="H144" s="2">
        <f t="shared" si="16"/>
        <v>43000</v>
      </c>
      <c r="I144" s="26">
        <f t="shared" si="22"/>
        <v>5.4236111111111276</v>
      </c>
      <c r="K144" s="29">
        <f>Ticketsys!H144</f>
        <v>5.7152777777777946</v>
      </c>
      <c r="L144" t="s">
        <v>37</v>
      </c>
      <c r="M144" t="s">
        <v>1882</v>
      </c>
      <c r="N144" s="1" t="str">
        <f t="shared" si="17"/>
        <v>middle-haul flights</v>
      </c>
      <c r="O144" s="27">
        <f t="shared" si="23"/>
        <v>1.4791666666666685</v>
      </c>
      <c r="P144" t="s">
        <v>1614</v>
      </c>
      <c r="Q144">
        <f>Ticketsys!J144</f>
        <v>1</v>
      </c>
    </row>
    <row r="145" spans="1:17">
      <c r="A145" t="s">
        <v>1296</v>
      </c>
      <c r="B145" t="s">
        <v>1506</v>
      </c>
      <c r="C145" t="str">
        <f>IF(Ticketsys!C145=CONCATENATE("long","-","haul"," ","flights"),"YES","NO")</f>
        <v>NO</v>
      </c>
      <c r="D145">
        <f t="shared" si="18"/>
        <v>325</v>
      </c>
      <c r="E145">
        <f t="shared" si="19"/>
        <v>65</v>
      </c>
      <c r="F145">
        <f t="shared" si="20"/>
        <v>65</v>
      </c>
      <c r="G145">
        <f t="shared" si="21"/>
        <v>195</v>
      </c>
      <c r="H145" s="2">
        <f t="shared" si="16"/>
        <v>43020</v>
      </c>
      <c r="I145" s="26">
        <f t="shared" si="22"/>
        <v>5.4618055555555722</v>
      </c>
      <c r="K145" s="29">
        <f>Ticketsys!H145</f>
        <v>5.7534722222222392</v>
      </c>
      <c r="L145" t="s">
        <v>37</v>
      </c>
      <c r="M145" t="s">
        <v>1761</v>
      </c>
      <c r="N145" s="1" t="str">
        <f t="shared" si="17"/>
        <v>middle-haul flights</v>
      </c>
      <c r="O145" s="27">
        <f t="shared" si="23"/>
        <v>1.4895833333333353</v>
      </c>
      <c r="P145" t="s">
        <v>1612</v>
      </c>
      <c r="Q145">
        <f>Ticketsys!J145</f>
        <v>1</v>
      </c>
    </row>
    <row r="146" spans="1:17">
      <c r="A146" t="s">
        <v>1297</v>
      </c>
      <c r="B146" t="s">
        <v>1507</v>
      </c>
      <c r="C146" t="str">
        <f>IF(Ticketsys!C146=CONCATENATE("long","-","haul"," ","flights"),"YES","NO")</f>
        <v>NO</v>
      </c>
      <c r="D146">
        <f t="shared" si="18"/>
        <v>325</v>
      </c>
      <c r="E146">
        <f t="shared" si="19"/>
        <v>65</v>
      </c>
      <c r="F146">
        <f t="shared" si="20"/>
        <v>65</v>
      </c>
      <c r="G146">
        <f t="shared" si="21"/>
        <v>195</v>
      </c>
      <c r="H146" s="2">
        <f t="shared" si="16"/>
        <v>43040</v>
      </c>
      <c r="I146" s="26">
        <f t="shared" si="22"/>
        <v>5.5000000000000169</v>
      </c>
      <c r="K146" s="29">
        <f>Ticketsys!H146</f>
        <v>5.7916666666666838</v>
      </c>
      <c r="L146" t="s">
        <v>37</v>
      </c>
      <c r="M146" t="s">
        <v>1881</v>
      </c>
      <c r="N146" s="1" t="str">
        <f t="shared" si="17"/>
        <v>middle-haul flights</v>
      </c>
      <c r="O146" s="27">
        <f t="shared" si="23"/>
        <v>1.500000000000002</v>
      </c>
      <c r="P146" t="s">
        <v>1612</v>
      </c>
      <c r="Q146">
        <f>Ticketsys!J146</f>
        <v>1</v>
      </c>
    </row>
    <row r="147" spans="1:17">
      <c r="A147" t="s">
        <v>1298</v>
      </c>
      <c r="B147" t="s">
        <v>1508</v>
      </c>
      <c r="C147" t="str">
        <f>IF(Ticketsys!C147=CONCATENATE("long","-","haul"," ","flights"),"YES","NO")</f>
        <v>NO</v>
      </c>
      <c r="D147">
        <f t="shared" si="18"/>
        <v>325</v>
      </c>
      <c r="E147">
        <f t="shared" si="19"/>
        <v>65</v>
      </c>
      <c r="F147">
        <f t="shared" si="20"/>
        <v>65</v>
      </c>
      <c r="G147">
        <f t="shared" si="21"/>
        <v>195</v>
      </c>
      <c r="H147" s="2">
        <f t="shared" si="16"/>
        <v>43060</v>
      </c>
      <c r="I147" s="26">
        <f t="shared" si="22"/>
        <v>5.5381944444444615</v>
      </c>
      <c r="K147" s="29">
        <f>Ticketsys!H147</f>
        <v>5.8298611111111285</v>
      </c>
      <c r="L147" t="s">
        <v>37</v>
      </c>
      <c r="M147" t="s">
        <v>1770</v>
      </c>
      <c r="N147" s="1" t="str">
        <f t="shared" si="17"/>
        <v>middle-haul flights</v>
      </c>
      <c r="O147" s="27">
        <f t="shared" si="23"/>
        <v>1.5104166666666687</v>
      </c>
      <c r="P147" t="s">
        <v>1612</v>
      </c>
      <c r="Q147">
        <f>Ticketsys!J147</f>
        <v>1</v>
      </c>
    </row>
    <row r="148" spans="1:17">
      <c r="A148" t="s">
        <v>1299</v>
      </c>
      <c r="B148" t="s">
        <v>1509</v>
      </c>
      <c r="C148" t="str">
        <f>IF(Ticketsys!C148=CONCATENATE("long","-","haul"," ","flights"),"YES","NO")</f>
        <v>NO</v>
      </c>
      <c r="D148">
        <f t="shared" si="18"/>
        <v>325</v>
      </c>
      <c r="E148">
        <f t="shared" si="19"/>
        <v>65</v>
      </c>
      <c r="F148">
        <f t="shared" si="20"/>
        <v>65</v>
      </c>
      <c r="G148">
        <f t="shared" si="21"/>
        <v>195</v>
      </c>
      <c r="H148" s="2">
        <f t="shared" si="16"/>
        <v>43080</v>
      </c>
      <c r="I148" s="26">
        <f t="shared" si="22"/>
        <v>5.5763888888889062</v>
      </c>
      <c r="K148" s="29">
        <f>Ticketsys!H148</f>
        <v>5.8680555555555731</v>
      </c>
      <c r="L148" t="s">
        <v>37</v>
      </c>
      <c r="M148" t="s">
        <v>1774</v>
      </c>
      <c r="N148" s="1" t="str">
        <f t="shared" si="17"/>
        <v>middle-haul flights</v>
      </c>
      <c r="O148" s="27">
        <f t="shared" si="23"/>
        <v>1.5208333333333355</v>
      </c>
      <c r="P148" t="s">
        <v>1613</v>
      </c>
      <c r="Q148">
        <f>Ticketsys!J148</f>
        <v>1</v>
      </c>
    </row>
    <row r="149" spans="1:17">
      <c r="A149" t="s">
        <v>1300</v>
      </c>
      <c r="B149" t="s">
        <v>1510</v>
      </c>
      <c r="C149" t="str">
        <f>IF(Ticketsys!C149=CONCATENATE("long","-","haul"," ","flights"),"YES","NO")</f>
        <v>NO</v>
      </c>
      <c r="D149">
        <f t="shared" si="18"/>
        <v>325</v>
      </c>
      <c r="E149">
        <f t="shared" si="19"/>
        <v>65</v>
      </c>
      <c r="F149">
        <f t="shared" si="20"/>
        <v>65</v>
      </c>
      <c r="G149">
        <f t="shared" si="21"/>
        <v>195</v>
      </c>
      <c r="H149" s="2">
        <f t="shared" si="16"/>
        <v>43100</v>
      </c>
      <c r="I149" s="26">
        <f t="shared" si="22"/>
        <v>5.6145833333333508</v>
      </c>
      <c r="K149" s="29">
        <f>Ticketsys!H149</f>
        <v>5.9062500000000178</v>
      </c>
      <c r="L149" t="s">
        <v>37</v>
      </c>
      <c r="M149" t="s">
        <v>1778</v>
      </c>
      <c r="N149" s="1" t="str">
        <f t="shared" si="17"/>
        <v>middle-haul flights</v>
      </c>
      <c r="O149" s="27">
        <f t="shared" si="23"/>
        <v>1.5312500000000022</v>
      </c>
      <c r="P149" t="s">
        <v>1612</v>
      </c>
      <c r="Q149">
        <f>Ticketsys!J149</f>
        <v>1</v>
      </c>
    </row>
    <row r="150" spans="1:17">
      <c r="A150" t="s">
        <v>1301</v>
      </c>
      <c r="B150" t="s">
        <v>1511</v>
      </c>
      <c r="C150" t="str">
        <f>IF(Ticketsys!C150=CONCATENATE("long","-","haul"," ","flights"),"YES","NO")</f>
        <v>NO</v>
      </c>
      <c r="D150">
        <f t="shared" si="18"/>
        <v>325</v>
      </c>
      <c r="E150">
        <f t="shared" si="19"/>
        <v>65</v>
      </c>
      <c r="F150">
        <f t="shared" si="20"/>
        <v>65</v>
      </c>
      <c r="G150">
        <f t="shared" si="21"/>
        <v>195</v>
      </c>
      <c r="H150" s="2">
        <f t="shared" si="16"/>
        <v>43120</v>
      </c>
      <c r="I150" s="26">
        <f t="shared" si="22"/>
        <v>5.6527777777777954</v>
      </c>
      <c r="K150" s="29">
        <f>Ticketsys!H150</f>
        <v>5.9444444444444624</v>
      </c>
      <c r="L150" t="s">
        <v>37</v>
      </c>
      <c r="M150" t="s">
        <v>1783</v>
      </c>
      <c r="N150" s="1" t="str">
        <f t="shared" si="17"/>
        <v>middle-haul flights</v>
      </c>
      <c r="O150" s="27">
        <f t="shared" si="23"/>
        <v>1.541666666666669</v>
      </c>
      <c r="P150" t="s">
        <v>1614</v>
      </c>
      <c r="Q150">
        <f>Ticketsys!J150</f>
        <v>1</v>
      </c>
    </row>
    <row r="151" spans="1:17">
      <c r="A151" t="s">
        <v>1302</v>
      </c>
      <c r="B151" t="s">
        <v>1512</v>
      </c>
      <c r="C151" t="str">
        <f>IF(Ticketsys!C151=CONCATENATE("long","-","haul"," ","flights"),"YES","NO")</f>
        <v>NO</v>
      </c>
      <c r="D151">
        <f t="shared" si="18"/>
        <v>325</v>
      </c>
      <c r="E151">
        <f t="shared" si="19"/>
        <v>65</v>
      </c>
      <c r="F151">
        <f t="shared" si="20"/>
        <v>65</v>
      </c>
      <c r="G151">
        <f t="shared" si="21"/>
        <v>195</v>
      </c>
      <c r="H151" s="2">
        <f t="shared" si="16"/>
        <v>43140</v>
      </c>
      <c r="I151" s="26">
        <f t="shared" si="22"/>
        <v>5.6909722222222401</v>
      </c>
      <c r="K151" s="29">
        <f>Ticketsys!H151</f>
        <v>5.982638888888907</v>
      </c>
      <c r="L151" t="s">
        <v>37</v>
      </c>
      <c r="M151" t="s">
        <v>1787</v>
      </c>
      <c r="N151" s="1" t="str">
        <f t="shared" si="17"/>
        <v>middle-haul flights</v>
      </c>
      <c r="O151" s="27">
        <f t="shared" si="23"/>
        <v>1.5520833333333357</v>
      </c>
      <c r="P151" t="s">
        <v>1614</v>
      </c>
      <c r="Q151">
        <f>Ticketsys!J151</f>
        <v>1</v>
      </c>
    </row>
    <row r="152" spans="1:17">
      <c r="A152" t="s">
        <v>1303</v>
      </c>
      <c r="B152" t="s">
        <v>1513</v>
      </c>
      <c r="C152" t="str">
        <f>IF(Ticketsys!C152=CONCATENATE("long","-","haul"," ","flights"),"YES","NO")</f>
        <v>NO</v>
      </c>
      <c r="D152">
        <f t="shared" si="18"/>
        <v>325</v>
      </c>
      <c r="E152">
        <f t="shared" si="19"/>
        <v>65</v>
      </c>
      <c r="F152">
        <f t="shared" si="20"/>
        <v>65</v>
      </c>
      <c r="G152">
        <f t="shared" si="21"/>
        <v>195</v>
      </c>
      <c r="H152" s="2">
        <f t="shared" si="16"/>
        <v>43160</v>
      </c>
      <c r="I152" s="26">
        <f t="shared" si="22"/>
        <v>5.7291666666666847</v>
      </c>
      <c r="K152" s="29">
        <f>Ticketsys!H152</f>
        <v>6.0208333333333517</v>
      </c>
      <c r="L152" t="s">
        <v>37</v>
      </c>
      <c r="M152" t="s">
        <v>1880</v>
      </c>
      <c r="N152" s="1" t="str">
        <f t="shared" si="17"/>
        <v>middle-haul flights</v>
      </c>
      <c r="O152" s="27">
        <f t="shared" si="23"/>
        <v>1.5625000000000024</v>
      </c>
      <c r="P152" t="s">
        <v>1614</v>
      </c>
      <c r="Q152">
        <f>Ticketsys!J152</f>
        <v>1</v>
      </c>
    </row>
    <row r="153" spans="1:17">
      <c r="A153" t="s">
        <v>1304</v>
      </c>
      <c r="B153" t="s">
        <v>1514</v>
      </c>
      <c r="C153" t="str">
        <f>IF(Ticketsys!C153=CONCATENATE("long","-","haul"," ","flights"),"YES","NO")</f>
        <v>NO</v>
      </c>
      <c r="D153">
        <f t="shared" si="18"/>
        <v>325</v>
      </c>
      <c r="E153">
        <f t="shared" si="19"/>
        <v>65</v>
      </c>
      <c r="F153">
        <f t="shared" si="20"/>
        <v>65</v>
      </c>
      <c r="G153">
        <f t="shared" si="21"/>
        <v>195</v>
      </c>
      <c r="H153" s="2">
        <f t="shared" si="16"/>
        <v>43180</v>
      </c>
      <c r="I153" s="26">
        <f t="shared" si="22"/>
        <v>5.7673611111111294</v>
      </c>
      <c r="K153" s="29">
        <f>Ticketsys!H153</f>
        <v>6.0590277777777963</v>
      </c>
      <c r="L153" t="s">
        <v>37</v>
      </c>
      <c r="M153" t="s">
        <v>1795</v>
      </c>
      <c r="N153" s="1" t="str">
        <f t="shared" si="17"/>
        <v>middle-haul flights</v>
      </c>
      <c r="O153" s="27">
        <f t="shared" si="23"/>
        <v>1.5729166666666692</v>
      </c>
      <c r="P153" t="s">
        <v>1614</v>
      </c>
      <c r="Q153">
        <f>Ticketsys!J153</f>
        <v>1</v>
      </c>
    </row>
    <row r="154" spans="1:17">
      <c r="A154" t="s">
        <v>1305</v>
      </c>
      <c r="B154" t="s">
        <v>1515</v>
      </c>
      <c r="C154" t="str">
        <f>IF(Ticketsys!C154=CONCATENATE("long","-","haul"," ","flights"),"YES","NO")</f>
        <v>NO</v>
      </c>
      <c r="D154">
        <f t="shared" si="18"/>
        <v>325</v>
      </c>
      <c r="E154">
        <f t="shared" si="19"/>
        <v>65</v>
      </c>
      <c r="F154">
        <f t="shared" si="20"/>
        <v>65</v>
      </c>
      <c r="G154">
        <f t="shared" si="21"/>
        <v>195</v>
      </c>
      <c r="H154" s="2">
        <f t="shared" si="16"/>
        <v>43200</v>
      </c>
      <c r="I154" s="26">
        <f t="shared" si="22"/>
        <v>5.805555555555574</v>
      </c>
      <c r="K154" s="29">
        <f>Ticketsys!H154</f>
        <v>6.097222222222241</v>
      </c>
      <c r="L154" t="s">
        <v>37</v>
      </c>
      <c r="M154" t="s">
        <v>1879</v>
      </c>
      <c r="N154" s="1" t="str">
        <f t="shared" si="17"/>
        <v>middle-haul flights</v>
      </c>
      <c r="O154" s="27">
        <f t="shared" si="23"/>
        <v>1.5833333333333359</v>
      </c>
      <c r="P154" t="s">
        <v>1614</v>
      </c>
      <c r="Q154">
        <f>Ticketsys!J154</f>
        <v>1</v>
      </c>
    </row>
    <row r="155" spans="1:17">
      <c r="A155" t="s">
        <v>1306</v>
      </c>
      <c r="B155" t="s">
        <v>1516</v>
      </c>
      <c r="C155" t="str">
        <f>IF(Ticketsys!C155=CONCATENATE("long","-","haul"," ","flights"),"YES","NO")</f>
        <v>NO</v>
      </c>
      <c r="D155">
        <f t="shared" si="18"/>
        <v>325</v>
      </c>
      <c r="E155">
        <f t="shared" si="19"/>
        <v>65</v>
      </c>
      <c r="F155">
        <f t="shared" si="20"/>
        <v>65</v>
      </c>
      <c r="G155">
        <f t="shared" si="21"/>
        <v>195</v>
      </c>
      <c r="H155" s="2">
        <f t="shared" si="16"/>
        <v>43220</v>
      </c>
      <c r="I155" s="26">
        <f t="shared" si="22"/>
        <v>5.8437500000000187</v>
      </c>
      <c r="K155" s="29">
        <f>Ticketsys!H155</f>
        <v>6.1354166666666856</v>
      </c>
      <c r="L155" t="s">
        <v>37</v>
      </c>
      <c r="M155" t="s">
        <v>1805</v>
      </c>
      <c r="N155" s="1" t="str">
        <f t="shared" si="17"/>
        <v>middle-haul flights</v>
      </c>
      <c r="O155" s="27">
        <f t="shared" si="23"/>
        <v>1.5937500000000027</v>
      </c>
      <c r="P155" t="s">
        <v>1612</v>
      </c>
      <c r="Q155">
        <f>Ticketsys!J155</f>
        <v>1</v>
      </c>
    </row>
    <row r="156" spans="1:17">
      <c r="A156" t="s">
        <v>1307</v>
      </c>
      <c r="B156" t="s">
        <v>1517</v>
      </c>
      <c r="C156" t="str">
        <f>IF(Ticketsys!C156=CONCATENATE("long","-","haul"," ","flights"),"YES","NO")</f>
        <v>NO</v>
      </c>
      <c r="D156">
        <f t="shared" si="18"/>
        <v>325</v>
      </c>
      <c r="E156">
        <f t="shared" si="19"/>
        <v>65</v>
      </c>
      <c r="F156">
        <f t="shared" si="20"/>
        <v>65</v>
      </c>
      <c r="G156">
        <f t="shared" si="21"/>
        <v>195</v>
      </c>
      <c r="H156" s="2">
        <f t="shared" si="16"/>
        <v>43240</v>
      </c>
      <c r="I156" s="26">
        <f t="shared" si="22"/>
        <v>5.8819444444444633</v>
      </c>
      <c r="K156" s="29">
        <f>Ticketsys!H156</f>
        <v>6.1736111111111303</v>
      </c>
      <c r="L156" t="s">
        <v>37</v>
      </c>
      <c r="M156" t="s">
        <v>1878</v>
      </c>
      <c r="N156" s="1" t="str">
        <f t="shared" si="17"/>
        <v>middle-haul flights</v>
      </c>
      <c r="O156" s="27">
        <f t="shared" si="23"/>
        <v>1.6041666666666694</v>
      </c>
      <c r="P156" t="s">
        <v>1614</v>
      </c>
      <c r="Q156">
        <f>Ticketsys!J156</f>
        <v>1</v>
      </c>
    </row>
    <row r="157" spans="1:17">
      <c r="A157" t="s">
        <v>1308</v>
      </c>
      <c r="B157" t="s">
        <v>1518</v>
      </c>
      <c r="C157" t="str">
        <f>IF(Ticketsys!C157=CONCATENATE("long","-","haul"," ","flights"),"YES","NO")</f>
        <v>NO</v>
      </c>
      <c r="D157">
        <f t="shared" si="18"/>
        <v>325</v>
      </c>
      <c r="E157">
        <f t="shared" si="19"/>
        <v>65</v>
      </c>
      <c r="F157">
        <f t="shared" si="20"/>
        <v>65</v>
      </c>
      <c r="G157">
        <f t="shared" si="21"/>
        <v>195</v>
      </c>
      <c r="H157" s="2">
        <f t="shared" si="16"/>
        <v>43260</v>
      </c>
      <c r="I157" s="26">
        <f t="shared" si="22"/>
        <v>5.9201388888889079</v>
      </c>
      <c r="K157" s="29">
        <f>Ticketsys!H157</f>
        <v>6.2118055555555749</v>
      </c>
      <c r="L157" t="s">
        <v>37</v>
      </c>
      <c r="M157" t="s">
        <v>1814</v>
      </c>
      <c r="N157" s="1" t="str">
        <f t="shared" si="17"/>
        <v>middle-haul flights</v>
      </c>
      <c r="O157" s="27">
        <f t="shared" si="23"/>
        <v>1.6145833333333361</v>
      </c>
      <c r="P157" t="s">
        <v>1612</v>
      </c>
      <c r="Q157">
        <f>Ticketsys!J157</f>
        <v>1</v>
      </c>
    </row>
    <row r="158" spans="1:17">
      <c r="A158" t="s">
        <v>1309</v>
      </c>
      <c r="B158" t="s">
        <v>1519</v>
      </c>
      <c r="C158" t="str">
        <f>IF(Ticketsys!C158=CONCATENATE("long","-","haul"," ","flights"),"YES","NO")</f>
        <v>NO</v>
      </c>
      <c r="D158">
        <f t="shared" si="18"/>
        <v>325</v>
      </c>
      <c r="E158">
        <f t="shared" si="19"/>
        <v>65</v>
      </c>
      <c r="F158">
        <f t="shared" si="20"/>
        <v>65</v>
      </c>
      <c r="G158">
        <f t="shared" si="21"/>
        <v>195</v>
      </c>
      <c r="H158" s="2">
        <f t="shared" si="16"/>
        <v>43280</v>
      </c>
      <c r="I158" s="26">
        <f t="shared" si="22"/>
        <v>5.9583333333333526</v>
      </c>
      <c r="K158" s="29">
        <f>Ticketsys!H158</f>
        <v>6.2500000000000195</v>
      </c>
      <c r="L158" t="s">
        <v>37</v>
      </c>
      <c r="M158" t="s">
        <v>1877</v>
      </c>
      <c r="N158" s="1" t="str">
        <f t="shared" si="17"/>
        <v>middle-haul flights</v>
      </c>
      <c r="O158" s="27">
        <f t="shared" si="23"/>
        <v>1.6250000000000029</v>
      </c>
      <c r="P158" t="s">
        <v>1612</v>
      </c>
      <c r="Q158">
        <f>Ticketsys!J158</f>
        <v>1</v>
      </c>
    </row>
    <row r="159" spans="1:17">
      <c r="A159" t="s">
        <v>1310</v>
      </c>
      <c r="B159" t="s">
        <v>1520</v>
      </c>
      <c r="C159" t="str">
        <f>IF(Ticketsys!C159=CONCATENATE("long","-","haul"," ","flights"),"YES","NO")</f>
        <v>NO</v>
      </c>
      <c r="D159">
        <f t="shared" si="18"/>
        <v>325</v>
      </c>
      <c r="E159">
        <f t="shared" si="19"/>
        <v>65</v>
      </c>
      <c r="F159">
        <f t="shared" si="20"/>
        <v>65</v>
      </c>
      <c r="G159">
        <f t="shared" si="21"/>
        <v>195</v>
      </c>
      <c r="H159" s="2">
        <f t="shared" si="16"/>
        <v>43300</v>
      </c>
      <c r="I159" s="26">
        <f t="shared" si="22"/>
        <v>5.9965277777777972</v>
      </c>
      <c r="K159" s="29">
        <f>Ticketsys!H159</f>
        <v>6.2881944444444642</v>
      </c>
      <c r="L159" t="s">
        <v>37</v>
      </c>
      <c r="M159" t="s">
        <v>1823</v>
      </c>
      <c r="N159" s="1" t="str">
        <f t="shared" si="17"/>
        <v>middle-haul flights</v>
      </c>
      <c r="O159" s="27">
        <f t="shared" si="23"/>
        <v>1.6354166666666696</v>
      </c>
      <c r="P159" t="s">
        <v>1614</v>
      </c>
      <c r="Q159">
        <f>Ticketsys!J159</f>
        <v>1</v>
      </c>
    </row>
    <row r="160" spans="1:17">
      <c r="A160" t="s">
        <v>1311</v>
      </c>
      <c r="B160" t="s">
        <v>1521</v>
      </c>
      <c r="C160" t="str">
        <f>IF(Ticketsys!C160=CONCATENATE("long","-","haul"," ","flights"),"YES","NO")</f>
        <v>NO</v>
      </c>
      <c r="D160">
        <f t="shared" si="18"/>
        <v>325</v>
      </c>
      <c r="E160">
        <f t="shared" si="19"/>
        <v>65</v>
      </c>
      <c r="F160">
        <f t="shared" si="20"/>
        <v>65</v>
      </c>
      <c r="G160">
        <f t="shared" si="21"/>
        <v>195</v>
      </c>
      <c r="H160" s="2">
        <f t="shared" ref="H160:H201" si="24">H67+15</f>
        <v>43320</v>
      </c>
      <c r="I160" s="26">
        <f t="shared" si="22"/>
        <v>6.0347222222222419</v>
      </c>
      <c r="K160" s="29">
        <f>Ticketsys!H160</f>
        <v>6.3263888888889088</v>
      </c>
      <c r="L160" t="s">
        <v>37</v>
      </c>
      <c r="M160" t="s">
        <v>1828</v>
      </c>
      <c r="N160" s="1" t="str">
        <f t="shared" si="17"/>
        <v>middle-haul flights</v>
      </c>
      <c r="O160" s="27">
        <f t="shared" si="23"/>
        <v>1.6458333333333364</v>
      </c>
      <c r="P160" t="s">
        <v>1612</v>
      </c>
      <c r="Q160">
        <f>Ticketsys!J160</f>
        <v>1</v>
      </c>
    </row>
    <row r="161" spans="1:17">
      <c r="A161" t="s">
        <v>1312</v>
      </c>
      <c r="B161" t="s">
        <v>1522</v>
      </c>
      <c r="C161" t="str">
        <f>IF(Ticketsys!C161=CONCATENATE("long","-","haul"," ","flights"),"YES","NO")</f>
        <v>NO</v>
      </c>
      <c r="D161">
        <f t="shared" si="18"/>
        <v>325</v>
      </c>
      <c r="E161">
        <f t="shared" si="19"/>
        <v>65</v>
      </c>
      <c r="F161">
        <f t="shared" si="20"/>
        <v>65</v>
      </c>
      <c r="G161">
        <f t="shared" si="21"/>
        <v>195</v>
      </c>
      <c r="H161" s="2">
        <f t="shared" si="24"/>
        <v>43340</v>
      </c>
      <c r="I161" s="26">
        <f t="shared" si="22"/>
        <v>6.0729166666666865</v>
      </c>
      <c r="K161" s="29">
        <f>Ticketsys!H161</f>
        <v>6.3645833333333535</v>
      </c>
      <c r="L161" t="s">
        <v>37</v>
      </c>
      <c r="M161" t="s">
        <v>1876</v>
      </c>
      <c r="N161" s="1" t="str">
        <f t="shared" si="17"/>
        <v>middle-haul flights</v>
      </c>
      <c r="O161" s="27">
        <f t="shared" si="23"/>
        <v>1.6562500000000031</v>
      </c>
      <c r="P161" t="s">
        <v>1613</v>
      </c>
      <c r="Q161">
        <f>Ticketsys!J161</f>
        <v>1</v>
      </c>
    </row>
    <row r="162" spans="1:17">
      <c r="A162" t="s">
        <v>1313</v>
      </c>
      <c r="B162" t="s">
        <v>1523</v>
      </c>
      <c r="C162" t="str">
        <f>IF(Ticketsys!C162=CONCATENATE("long","-","haul"," ","flights"),"YES","NO")</f>
        <v>NO</v>
      </c>
      <c r="D162">
        <f t="shared" si="18"/>
        <v>325</v>
      </c>
      <c r="E162">
        <f t="shared" si="19"/>
        <v>65</v>
      </c>
      <c r="F162">
        <f t="shared" si="20"/>
        <v>65</v>
      </c>
      <c r="G162">
        <f t="shared" si="21"/>
        <v>195</v>
      </c>
      <c r="H162" s="2">
        <f t="shared" si="24"/>
        <v>43360</v>
      </c>
      <c r="I162" s="26">
        <f t="shared" si="22"/>
        <v>6.1111111111111311</v>
      </c>
      <c r="K162" s="29">
        <f>Ticketsys!H162</f>
        <v>6.4027777777777981</v>
      </c>
      <c r="L162" t="s">
        <v>37</v>
      </c>
      <c r="M162" t="s">
        <v>1875</v>
      </c>
      <c r="N162" s="1" t="str">
        <f t="shared" si="17"/>
        <v>middle-haul flights</v>
      </c>
      <c r="O162" s="27">
        <f t="shared" si="23"/>
        <v>1.6666666666666698</v>
      </c>
      <c r="P162" t="s">
        <v>1612</v>
      </c>
      <c r="Q162">
        <f>Ticketsys!J162</f>
        <v>1</v>
      </c>
    </row>
    <row r="163" spans="1:17">
      <c r="A163" t="s">
        <v>1314</v>
      </c>
      <c r="B163" t="s">
        <v>1524</v>
      </c>
      <c r="C163" t="str">
        <f>IF(Ticketsys!C163=CONCATENATE("long","-","haul"," ","flights"),"YES","NO")</f>
        <v>NO</v>
      </c>
      <c r="D163">
        <f t="shared" si="18"/>
        <v>325</v>
      </c>
      <c r="E163">
        <f t="shared" si="19"/>
        <v>65</v>
      </c>
      <c r="F163">
        <f t="shared" si="20"/>
        <v>65</v>
      </c>
      <c r="G163">
        <f t="shared" si="21"/>
        <v>195</v>
      </c>
      <c r="H163" s="2">
        <f t="shared" si="24"/>
        <v>43380</v>
      </c>
      <c r="I163" s="26">
        <f t="shared" si="22"/>
        <v>6.1493055555555758</v>
      </c>
      <c r="K163" s="29">
        <f>Ticketsys!H163</f>
        <v>6.4409722222222427</v>
      </c>
      <c r="L163" t="s">
        <v>37</v>
      </c>
      <c r="M163" t="s">
        <v>1874</v>
      </c>
      <c r="N163" s="1" t="str">
        <f t="shared" si="17"/>
        <v>middle-haul flights</v>
      </c>
      <c r="O163" s="27">
        <f t="shared" si="23"/>
        <v>1.6770833333333366</v>
      </c>
      <c r="P163" t="s">
        <v>1614</v>
      </c>
      <c r="Q163">
        <f>Ticketsys!J163</f>
        <v>1</v>
      </c>
    </row>
    <row r="164" spans="1:17">
      <c r="A164" t="s">
        <v>1315</v>
      </c>
      <c r="B164" t="s">
        <v>1525</v>
      </c>
      <c r="C164" t="str">
        <f>IF(Ticketsys!C164=CONCATENATE("long","-","haul"," ","flights"),"YES","NO")</f>
        <v>NO</v>
      </c>
      <c r="D164">
        <f t="shared" si="18"/>
        <v>325</v>
      </c>
      <c r="E164">
        <f t="shared" si="19"/>
        <v>65</v>
      </c>
      <c r="F164">
        <f t="shared" si="20"/>
        <v>65</v>
      </c>
      <c r="G164">
        <f t="shared" si="21"/>
        <v>195</v>
      </c>
      <c r="H164" s="2">
        <f t="shared" si="24"/>
        <v>43400</v>
      </c>
      <c r="I164" s="26">
        <f t="shared" si="22"/>
        <v>6.1875000000000204</v>
      </c>
      <c r="K164" s="29">
        <f>Ticketsys!H164</f>
        <v>6.4791666666666874</v>
      </c>
      <c r="L164" t="s">
        <v>37</v>
      </c>
      <c r="M164" t="s">
        <v>1843</v>
      </c>
      <c r="N164" s="1" t="str">
        <f t="shared" si="17"/>
        <v>middle-haul flights</v>
      </c>
      <c r="O164" s="27">
        <f t="shared" si="23"/>
        <v>1.6875000000000033</v>
      </c>
      <c r="P164" t="s">
        <v>1614</v>
      </c>
      <c r="Q164">
        <f>Ticketsys!J164</f>
        <v>1</v>
      </c>
    </row>
    <row r="165" spans="1:17">
      <c r="A165" t="s">
        <v>1316</v>
      </c>
      <c r="B165" t="s">
        <v>1526</v>
      </c>
      <c r="C165" t="str">
        <f>IF(Ticketsys!C165=CONCATENATE("long","-","haul"," ","flights"),"YES","NO")</f>
        <v>NO</v>
      </c>
      <c r="D165">
        <f t="shared" si="18"/>
        <v>325</v>
      </c>
      <c r="E165">
        <f t="shared" si="19"/>
        <v>65</v>
      </c>
      <c r="F165">
        <f t="shared" si="20"/>
        <v>65</v>
      </c>
      <c r="G165">
        <f t="shared" si="21"/>
        <v>195</v>
      </c>
      <c r="H165" s="2">
        <f t="shared" si="24"/>
        <v>43420</v>
      </c>
      <c r="I165" s="26">
        <f t="shared" si="22"/>
        <v>6.2256944444444651</v>
      </c>
      <c r="K165" s="29">
        <f>Ticketsys!H165</f>
        <v>6.517361111111132</v>
      </c>
      <c r="L165" t="s">
        <v>37</v>
      </c>
      <c r="M165" t="s">
        <v>1873</v>
      </c>
      <c r="N165" s="1" t="str">
        <f t="shared" si="17"/>
        <v>middle-haul flights</v>
      </c>
      <c r="O165" s="27">
        <f t="shared" si="23"/>
        <v>1.6979166666666701</v>
      </c>
      <c r="P165" t="s">
        <v>1614</v>
      </c>
      <c r="Q165">
        <f>Ticketsys!J165</f>
        <v>1</v>
      </c>
    </row>
    <row r="166" spans="1:17">
      <c r="A166" t="s">
        <v>1317</v>
      </c>
      <c r="B166" t="s">
        <v>1527</v>
      </c>
      <c r="C166" t="str">
        <f>IF(Ticketsys!C166=CONCATENATE("long","-","haul"," ","flights"),"YES","NO")</f>
        <v>NO</v>
      </c>
      <c r="D166">
        <f t="shared" si="18"/>
        <v>325</v>
      </c>
      <c r="E166">
        <f t="shared" si="19"/>
        <v>65</v>
      </c>
      <c r="F166">
        <f t="shared" si="20"/>
        <v>65</v>
      </c>
      <c r="G166">
        <f t="shared" si="21"/>
        <v>195</v>
      </c>
      <c r="H166" s="2">
        <f t="shared" si="24"/>
        <v>43440</v>
      </c>
      <c r="I166" s="26">
        <f t="shared" si="22"/>
        <v>6.2638888888889097</v>
      </c>
      <c r="K166" s="29">
        <f>Ticketsys!H166</f>
        <v>6.5555555555555767</v>
      </c>
      <c r="L166" t="s">
        <v>37</v>
      </c>
      <c r="M166" t="s">
        <v>1851</v>
      </c>
      <c r="N166" s="1" t="str">
        <f t="shared" si="17"/>
        <v>middle-haul flights</v>
      </c>
      <c r="O166" s="27">
        <f t="shared" si="23"/>
        <v>1.7083333333333368</v>
      </c>
      <c r="P166" t="s">
        <v>1614</v>
      </c>
      <c r="Q166">
        <f>Ticketsys!J166</f>
        <v>1</v>
      </c>
    </row>
    <row r="167" spans="1:17">
      <c r="A167" t="s">
        <v>1318</v>
      </c>
      <c r="B167" t="s">
        <v>1528</v>
      </c>
      <c r="C167" t="str">
        <f>IF(Ticketsys!C167=CONCATENATE("long","-","haul"," ","flights"),"YES","NO")</f>
        <v>NO</v>
      </c>
      <c r="D167">
        <f t="shared" si="18"/>
        <v>325</v>
      </c>
      <c r="E167">
        <f t="shared" si="19"/>
        <v>65</v>
      </c>
      <c r="F167">
        <f t="shared" si="20"/>
        <v>65</v>
      </c>
      <c r="G167">
        <f t="shared" si="21"/>
        <v>195</v>
      </c>
      <c r="H167" s="2">
        <f t="shared" si="24"/>
        <v>43460</v>
      </c>
      <c r="I167" s="26">
        <f t="shared" si="22"/>
        <v>6.3020833333333544</v>
      </c>
      <c r="K167" s="29">
        <f>Ticketsys!H167</f>
        <v>6.5937500000000213</v>
      </c>
      <c r="L167" t="s">
        <v>37</v>
      </c>
      <c r="M167" t="s">
        <v>1872</v>
      </c>
      <c r="N167" s="1" t="str">
        <f t="shared" si="17"/>
        <v>middle-haul flights</v>
      </c>
      <c r="O167" s="27">
        <f t="shared" si="23"/>
        <v>1.7187500000000036</v>
      </c>
      <c r="P167" t="s">
        <v>1614</v>
      </c>
      <c r="Q167">
        <f>Ticketsys!J167</f>
        <v>1</v>
      </c>
    </row>
    <row r="168" spans="1:17">
      <c r="A168" t="s">
        <v>1319</v>
      </c>
      <c r="B168" t="s">
        <v>1529</v>
      </c>
      <c r="C168" t="str">
        <f>IF(Ticketsys!C168=CONCATENATE("long","-","haul"," ","flights"),"YES","NO")</f>
        <v>NO</v>
      </c>
      <c r="D168">
        <f t="shared" si="18"/>
        <v>325</v>
      </c>
      <c r="E168">
        <f t="shared" si="19"/>
        <v>65</v>
      </c>
      <c r="F168">
        <f t="shared" si="20"/>
        <v>65</v>
      </c>
      <c r="G168">
        <f t="shared" si="21"/>
        <v>195</v>
      </c>
      <c r="H168" s="2">
        <f t="shared" si="24"/>
        <v>43480</v>
      </c>
      <c r="I168" s="26">
        <f t="shared" si="22"/>
        <v>6.340277777777799</v>
      </c>
      <c r="K168" s="29">
        <f>Ticketsys!H168</f>
        <v>6.840277777777799</v>
      </c>
      <c r="L168" t="s">
        <v>37</v>
      </c>
      <c r="M168" t="s">
        <v>1625</v>
      </c>
      <c r="N168" s="1" t="str">
        <f>CONCATENATE("long","-","haul"," ","flights")</f>
        <v>long-haul flights</v>
      </c>
      <c r="O168" s="27">
        <f t="shared" si="23"/>
        <v>1.7291666666666703</v>
      </c>
      <c r="P168" t="s">
        <v>1612</v>
      </c>
      <c r="Q168">
        <f>Ticketsys!J168</f>
        <v>2</v>
      </c>
    </row>
    <row r="169" spans="1:17">
      <c r="A169" t="s">
        <v>1320</v>
      </c>
      <c r="B169" t="s">
        <v>1530</v>
      </c>
      <c r="C169" t="str">
        <f>IF(Ticketsys!C169=CONCATENATE("long","-","haul"," ","flights"),"YES","NO")</f>
        <v>NO</v>
      </c>
      <c r="D169">
        <f t="shared" si="18"/>
        <v>325</v>
      </c>
      <c r="E169">
        <f t="shared" si="19"/>
        <v>65</v>
      </c>
      <c r="F169">
        <f t="shared" si="20"/>
        <v>65</v>
      </c>
      <c r="G169">
        <f t="shared" si="21"/>
        <v>195</v>
      </c>
      <c r="H169" s="2">
        <f t="shared" si="24"/>
        <v>43500</v>
      </c>
      <c r="I169" s="26">
        <f t="shared" si="22"/>
        <v>6.3784722222222436</v>
      </c>
      <c r="K169" s="29">
        <f>Ticketsys!H169</f>
        <v>6.8784722222222436</v>
      </c>
      <c r="L169" t="s">
        <v>37</v>
      </c>
      <c r="M169" t="s">
        <v>1901</v>
      </c>
      <c r="N169" s="1" t="str">
        <f t="shared" ref="N169:N201" si="25">CONCATENATE("long","-","haul"," ","flights")</f>
        <v>long-haul flights</v>
      </c>
      <c r="O169" s="27">
        <f t="shared" si="23"/>
        <v>1.739583333333337</v>
      </c>
      <c r="P169" t="s">
        <v>1614</v>
      </c>
      <c r="Q169">
        <f>Ticketsys!J169</f>
        <v>2</v>
      </c>
    </row>
    <row r="170" spans="1:17">
      <c r="A170" t="s">
        <v>1321</v>
      </c>
      <c r="B170" t="s">
        <v>1531</v>
      </c>
      <c r="C170" t="str">
        <f>IF(Ticketsys!C170=CONCATENATE("long","-","haul"," ","flights"),"YES","NO")</f>
        <v>NO</v>
      </c>
      <c r="D170">
        <f t="shared" si="18"/>
        <v>325</v>
      </c>
      <c r="E170">
        <f t="shared" si="19"/>
        <v>65</v>
      </c>
      <c r="F170">
        <f t="shared" si="20"/>
        <v>65</v>
      </c>
      <c r="G170">
        <f t="shared" si="21"/>
        <v>195</v>
      </c>
      <c r="H170" s="2">
        <f t="shared" si="24"/>
        <v>43520</v>
      </c>
      <c r="I170" s="26">
        <f t="shared" si="22"/>
        <v>6.4166666666666883</v>
      </c>
      <c r="K170" s="29">
        <f>Ticketsys!H170</f>
        <v>6.9166666666666883</v>
      </c>
      <c r="L170" t="s">
        <v>37</v>
      </c>
      <c r="M170" t="s">
        <v>1907</v>
      </c>
      <c r="N170" s="1" t="str">
        <f t="shared" si="25"/>
        <v>long-haul flights</v>
      </c>
      <c r="O170" s="27">
        <f t="shared" si="23"/>
        <v>1.7500000000000038</v>
      </c>
      <c r="P170" t="s">
        <v>1612</v>
      </c>
      <c r="Q170">
        <f>Ticketsys!J170</f>
        <v>2</v>
      </c>
    </row>
    <row r="171" spans="1:17">
      <c r="A171" t="s">
        <v>1322</v>
      </c>
      <c r="B171" t="s">
        <v>1532</v>
      </c>
      <c r="C171" t="str">
        <f>IF(Ticketsys!C171=CONCATENATE("long","-","haul"," ","flights"),"YES","NO")</f>
        <v>NO</v>
      </c>
      <c r="D171">
        <f t="shared" si="18"/>
        <v>325</v>
      </c>
      <c r="E171">
        <f t="shared" si="19"/>
        <v>65</v>
      </c>
      <c r="F171">
        <f t="shared" si="20"/>
        <v>65</v>
      </c>
      <c r="G171">
        <f t="shared" si="21"/>
        <v>195</v>
      </c>
      <c r="H171" s="2">
        <f t="shared" si="24"/>
        <v>43540</v>
      </c>
      <c r="I171" s="26">
        <f t="shared" si="22"/>
        <v>6.4548611111111329</v>
      </c>
      <c r="K171" s="29">
        <f>Ticketsys!H171</f>
        <v>6.9548611111111329</v>
      </c>
      <c r="L171" t="s">
        <v>37</v>
      </c>
      <c r="M171" t="s">
        <v>1912</v>
      </c>
      <c r="N171" s="1" t="str">
        <f t="shared" si="25"/>
        <v>long-haul flights</v>
      </c>
      <c r="O171" s="27">
        <f t="shared" si="23"/>
        <v>1.7604166666666705</v>
      </c>
      <c r="P171" t="s">
        <v>1612</v>
      </c>
      <c r="Q171">
        <f>Ticketsys!J171</f>
        <v>2</v>
      </c>
    </row>
    <row r="172" spans="1:17">
      <c r="A172" t="s">
        <v>1323</v>
      </c>
      <c r="B172" t="s">
        <v>1533</v>
      </c>
      <c r="C172" t="str">
        <f>IF(Ticketsys!C172=CONCATENATE("long","-","haul"," ","flights"),"YES","NO")</f>
        <v>NO</v>
      </c>
      <c r="D172">
        <f t="shared" si="18"/>
        <v>325</v>
      </c>
      <c r="E172">
        <f t="shared" si="19"/>
        <v>65</v>
      </c>
      <c r="F172">
        <f t="shared" si="20"/>
        <v>65</v>
      </c>
      <c r="G172">
        <f t="shared" si="21"/>
        <v>195</v>
      </c>
      <c r="H172" s="2">
        <f t="shared" si="24"/>
        <v>43560</v>
      </c>
      <c r="I172" s="26">
        <f t="shared" si="22"/>
        <v>6.4930555555555776</v>
      </c>
      <c r="K172" s="29">
        <f>Ticketsys!H172</f>
        <v>6.9930555555555776</v>
      </c>
      <c r="L172" t="s">
        <v>37</v>
      </c>
      <c r="M172" t="s">
        <v>1917</v>
      </c>
      <c r="N172" s="1" t="str">
        <f t="shared" si="25"/>
        <v>long-haul flights</v>
      </c>
      <c r="O172" s="27">
        <f t="shared" si="23"/>
        <v>1.7708333333333373</v>
      </c>
      <c r="P172" t="s">
        <v>1612</v>
      </c>
      <c r="Q172">
        <f>Ticketsys!J172</f>
        <v>2</v>
      </c>
    </row>
    <row r="173" spans="1:17">
      <c r="A173" t="s">
        <v>1324</v>
      </c>
      <c r="B173" t="s">
        <v>1534</v>
      </c>
      <c r="C173" t="str">
        <f>IF(Ticketsys!C173=CONCATENATE("long","-","haul"," ","flights"),"YES","NO")</f>
        <v>NO</v>
      </c>
      <c r="D173">
        <f t="shared" si="18"/>
        <v>325</v>
      </c>
      <c r="E173">
        <f t="shared" si="19"/>
        <v>65</v>
      </c>
      <c r="F173">
        <f t="shared" si="20"/>
        <v>65</v>
      </c>
      <c r="G173">
        <f t="shared" si="21"/>
        <v>195</v>
      </c>
      <c r="H173" s="2">
        <f t="shared" si="24"/>
        <v>43580</v>
      </c>
      <c r="I173" s="26">
        <f t="shared" si="22"/>
        <v>6.5312500000000222</v>
      </c>
      <c r="K173" s="29">
        <f>Ticketsys!H173</f>
        <v>7.0312500000000222</v>
      </c>
      <c r="L173" t="s">
        <v>37</v>
      </c>
      <c r="M173" t="s">
        <v>1921</v>
      </c>
      <c r="N173" s="1" t="str">
        <f t="shared" si="25"/>
        <v>long-haul flights</v>
      </c>
      <c r="O173" s="27">
        <f t="shared" si="23"/>
        <v>1.781250000000004</v>
      </c>
      <c r="P173" t="s">
        <v>1613</v>
      </c>
      <c r="Q173">
        <f>Ticketsys!J173</f>
        <v>2</v>
      </c>
    </row>
    <row r="174" spans="1:17">
      <c r="A174" t="s">
        <v>1325</v>
      </c>
      <c r="B174" t="s">
        <v>1535</v>
      </c>
      <c r="C174" t="str">
        <f>IF(Ticketsys!C174=CONCATENATE("long","-","haul"," ","flights"),"YES","NO")</f>
        <v>NO</v>
      </c>
      <c r="D174">
        <f t="shared" si="18"/>
        <v>325</v>
      </c>
      <c r="E174">
        <f t="shared" si="19"/>
        <v>65</v>
      </c>
      <c r="F174">
        <f t="shared" si="20"/>
        <v>65</v>
      </c>
      <c r="G174">
        <f t="shared" si="21"/>
        <v>195</v>
      </c>
      <c r="H174" s="2">
        <f t="shared" si="24"/>
        <v>43600</v>
      </c>
      <c r="I174" s="26">
        <f t="shared" si="22"/>
        <v>6.5694444444444668</v>
      </c>
      <c r="K174" s="29">
        <f>Ticketsys!H174</f>
        <v>7.0694444444444668</v>
      </c>
      <c r="L174" t="s">
        <v>37</v>
      </c>
      <c r="M174" t="s">
        <v>1927</v>
      </c>
      <c r="N174" s="1" t="str">
        <f t="shared" si="25"/>
        <v>long-haul flights</v>
      </c>
      <c r="O174" s="27">
        <f t="shared" si="23"/>
        <v>1.7916666666666707</v>
      </c>
      <c r="P174" t="s">
        <v>1612</v>
      </c>
      <c r="Q174">
        <f>Ticketsys!J174</f>
        <v>2</v>
      </c>
    </row>
    <row r="175" spans="1:17">
      <c r="A175" t="s">
        <v>1326</v>
      </c>
      <c r="B175" t="s">
        <v>1536</v>
      </c>
      <c r="C175" t="str">
        <f>IF(Ticketsys!C175=CONCATENATE("long","-","haul"," ","flights"),"YES","NO")</f>
        <v>NO</v>
      </c>
      <c r="D175">
        <f t="shared" si="18"/>
        <v>325</v>
      </c>
      <c r="E175">
        <f t="shared" si="19"/>
        <v>65</v>
      </c>
      <c r="F175">
        <f t="shared" si="20"/>
        <v>65</v>
      </c>
      <c r="G175">
        <f t="shared" si="21"/>
        <v>195</v>
      </c>
      <c r="H175" s="2">
        <f t="shared" si="24"/>
        <v>43620</v>
      </c>
      <c r="I175" s="26">
        <f t="shared" si="22"/>
        <v>6.6076388888889115</v>
      </c>
      <c r="K175" s="29">
        <f>Ticketsys!H175</f>
        <v>7.1076388888889115</v>
      </c>
      <c r="L175" t="s">
        <v>37</v>
      </c>
      <c r="M175" t="s">
        <v>1933</v>
      </c>
      <c r="N175" s="1" t="str">
        <f t="shared" si="25"/>
        <v>long-haul flights</v>
      </c>
      <c r="O175" s="27">
        <f t="shared" si="23"/>
        <v>1.8020833333333375</v>
      </c>
      <c r="P175" t="s">
        <v>1614</v>
      </c>
      <c r="Q175">
        <f>Ticketsys!J175</f>
        <v>2</v>
      </c>
    </row>
    <row r="176" spans="1:17">
      <c r="A176" t="s">
        <v>1327</v>
      </c>
      <c r="B176" t="s">
        <v>1537</v>
      </c>
      <c r="C176" t="str">
        <f>IF(Ticketsys!C176=CONCATENATE("long","-","haul"," ","flights"),"YES","NO")</f>
        <v>NO</v>
      </c>
      <c r="D176">
        <f t="shared" si="18"/>
        <v>325</v>
      </c>
      <c r="E176">
        <f t="shared" si="19"/>
        <v>65</v>
      </c>
      <c r="F176">
        <f t="shared" si="20"/>
        <v>65</v>
      </c>
      <c r="G176">
        <f t="shared" si="21"/>
        <v>195</v>
      </c>
      <c r="H176" s="2">
        <f t="shared" si="24"/>
        <v>43640</v>
      </c>
      <c r="I176" s="26">
        <f t="shared" si="22"/>
        <v>6.6458333333333561</v>
      </c>
      <c r="K176" s="29">
        <f>Ticketsys!H176</f>
        <v>7.1458333333333561</v>
      </c>
      <c r="L176" t="s">
        <v>37</v>
      </c>
      <c r="M176" t="s">
        <v>1937</v>
      </c>
      <c r="N176" s="1" t="str">
        <f t="shared" si="25"/>
        <v>long-haul flights</v>
      </c>
      <c r="O176" s="27">
        <f t="shared" si="23"/>
        <v>1.8125000000000042</v>
      </c>
      <c r="P176" t="s">
        <v>1614</v>
      </c>
      <c r="Q176">
        <f>Ticketsys!J176</f>
        <v>2</v>
      </c>
    </row>
    <row r="177" spans="1:17">
      <c r="A177" t="s">
        <v>1328</v>
      </c>
      <c r="B177" t="s">
        <v>1538</v>
      </c>
      <c r="C177" t="str">
        <f>IF(Ticketsys!C177=CONCATENATE("long","-","haul"," ","flights"),"YES","NO")</f>
        <v>NO</v>
      </c>
      <c r="D177">
        <f t="shared" si="18"/>
        <v>325</v>
      </c>
      <c r="E177">
        <f t="shared" si="19"/>
        <v>65</v>
      </c>
      <c r="F177">
        <f t="shared" si="20"/>
        <v>65</v>
      </c>
      <c r="G177">
        <f t="shared" si="21"/>
        <v>195</v>
      </c>
      <c r="H177" s="2">
        <f t="shared" si="24"/>
        <v>43660</v>
      </c>
      <c r="I177" s="26">
        <f t="shared" si="22"/>
        <v>6.6840277777778008</v>
      </c>
      <c r="K177" s="29">
        <f>Ticketsys!H177</f>
        <v>7.1840277777778008</v>
      </c>
      <c r="L177" t="s">
        <v>37</v>
      </c>
      <c r="M177" t="s">
        <v>1943</v>
      </c>
      <c r="N177" s="1" t="str">
        <f t="shared" si="25"/>
        <v>long-haul flights</v>
      </c>
      <c r="O177" s="27">
        <f t="shared" si="23"/>
        <v>1.822916666666671</v>
      </c>
      <c r="P177" t="s">
        <v>1614</v>
      </c>
      <c r="Q177">
        <f>Ticketsys!J177</f>
        <v>2</v>
      </c>
    </row>
    <row r="178" spans="1:17">
      <c r="A178" t="s">
        <v>1329</v>
      </c>
      <c r="B178" t="s">
        <v>1539</v>
      </c>
      <c r="C178" t="str">
        <f>IF(Ticketsys!C178=CONCATENATE("long","-","haul"," ","flights"),"YES","NO")</f>
        <v>NO</v>
      </c>
      <c r="D178">
        <f t="shared" si="18"/>
        <v>325</v>
      </c>
      <c r="E178">
        <f t="shared" si="19"/>
        <v>65</v>
      </c>
      <c r="F178">
        <f t="shared" si="20"/>
        <v>65</v>
      </c>
      <c r="G178">
        <f t="shared" si="21"/>
        <v>195</v>
      </c>
      <c r="H178" s="2">
        <f t="shared" si="24"/>
        <v>43680</v>
      </c>
      <c r="I178" s="26">
        <f t="shared" si="22"/>
        <v>6.7222222222222454</v>
      </c>
      <c r="K178" s="29">
        <f>Ticketsys!H178</f>
        <v>7.2222222222222454</v>
      </c>
      <c r="L178" t="s">
        <v>37</v>
      </c>
      <c r="M178" t="s">
        <v>1947</v>
      </c>
      <c r="N178" s="1" t="str">
        <f t="shared" si="25"/>
        <v>long-haul flights</v>
      </c>
      <c r="O178" s="27">
        <f t="shared" si="23"/>
        <v>1.8333333333333377</v>
      </c>
      <c r="P178" t="s">
        <v>1614</v>
      </c>
      <c r="Q178">
        <f>Ticketsys!J178</f>
        <v>2</v>
      </c>
    </row>
    <row r="179" spans="1:17">
      <c r="A179" t="s">
        <v>1330</v>
      </c>
      <c r="B179" t="s">
        <v>1540</v>
      </c>
      <c r="C179" t="str">
        <f>IF(Ticketsys!C179=CONCATENATE("long","-","haul"," ","flights"),"YES","NO")</f>
        <v>NO</v>
      </c>
      <c r="D179">
        <f t="shared" si="18"/>
        <v>325</v>
      </c>
      <c r="E179">
        <f t="shared" si="19"/>
        <v>65</v>
      </c>
      <c r="F179">
        <f t="shared" si="20"/>
        <v>65</v>
      </c>
      <c r="G179">
        <f t="shared" si="21"/>
        <v>195</v>
      </c>
      <c r="H179" s="2">
        <f t="shared" si="24"/>
        <v>43700</v>
      </c>
      <c r="I179" s="26">
        <f t="shared" si="22"/>
        <v>6.7604166666666901</v>
      </c>
      <c r="K179" s="29">
        <f>Ticketsys!H179</f>
        <v>7.2604166666666901</v>
      </c>
      <c r="L179" t="s">
        <v>37</v>
      </c>
      <c r="M179" t="s">
        <v>1952</v>
      </c>
      <c r="N179" s="1" t="str">
        <f t="shared" si="25"/>
        <v>long-haul flights</v>
      </c>
      <c r="O179" s="27">
        <f t="shared" si="23"/>
        <v>1.8437500000000044</v>
      </c>
      <c r="P179" t="s">
        <v>1614</v>
      </c>
      <c r="Q179">
        <f>Ticketsys!J179</f>
        <v>2</v>
      </c>
    </row>
    <row r="180" spans="1:17">
      <c r="A180" t="s">
        <v>1331</v>
      </c>
      <c r="B180" t="s">
        <v>1541</v>
      </c>
      <c r="C180" t="str">
        <f>IF(Ticketsys!C180=CONCATENATE("long","-","haul"," ","flights"),"YES","NO")</f>
        <v>NO</v>
      </c>
      <c r="D180">
        <f t="shared" si="18"/>
        <v>325</v>
      </c>
      <c r="E180">
        <f t="shared" si="19"/>
        <v>65</v>
      </c>
      <c r="F180">
        <f t="shared" si="20"/>
        <v>65</v>
      </c>
      <c r="G180">
        <f t="shared" si="21"/>
        <v>195</v>
      </c>
      <c r="H180" s="2">
        <f t="shared" si="24"/>
        <v>43720</v>
      </c>
      <c r="I180" s="26">
        <f t="shared" si="22"/>
        <v>6.7986111111111347</v>
      </c>
      <c r="K180" s="29">
        <f>Ticketsys!H180</f>
        <v>7.2986111111111347</v>
      </c>
      <c r="L180" t="s">
        <v>37</v>
      </c>
      <c r="M180" t="s">
        <v>1956</v>
      </c>
      <c r="N180" s="1" t="str">
        <f t="shared" si="25"/>
        <v>long-haul flights</v>
      </c>
      <c r="O180" s="27">
        <f t="shared" si="23"/>
        <v>1.8541666666666712</v>
      </c>
      <c r="P180" t="s">
        <v>1612</v>
      </c>
      <c r="Q180">
        <f>Ticketsys!J180</f>
        <v>2</v>
      </c>
    </row>
    <row r="181" spans="1:17">
      <c r="A181" t="s">
        <v>1332</v>
      </c>
      <c r="B181" t="s">
        <v>1542</v>
      </c>
      <c r="C181" t="str">
        <f>IF(Ticketsys!C181=CONCATENATE("long","-","haul"," ","flights"),"YES","NO")</f>
        <v>NO</v>
      </c>
      <c r="D181">
        <f t="shared" si="18"/>
        <v>325</v>
      </c>
      <c r="E181">
        <f t="shared" si="19"/>
        <v>65</v>
      </c>
      <c r="F181">
        <f t="shared" si="20"/>
        <v>65</v>
      </c>
      <c r="G181">
        <f t="shared" si="21"/>
        <v>195</v>
      </c>
      <c r="H181" s="2">
        <f t="shared" si="24"/>
        <v>43740</v>
      </c>
      <c r="I181" s="26">
        <f t="shared" si="22"/>
        <v>6.8368055555555793</v>
      </c>
      <c r="K181" s="29">
        <f>Ticketsys!H181</f>
        <v>7.3368055555555793</v>
      </c>
      <c r="L181" t="s">
        <v>37</v>
      </c>
      <c r="M181" t="s">
        <v>1961</v>
      </c>
      <c r="N181" s="1" t="str">
        <f t="shared" si="25"/>
        <v>long-haul flights</v>
      </c>
      <c r="O181" s="27">
        <f t="shared" si="23"/>
        <v>1.8645833333333379</v>
      </c>
      <c r="P181" t="s">
        <v>1614</v>
      </c>
      <c r="Q181">
        <f>Ticketsys!J181</f>
        <v>2</v>
      </c>
    </row>
    <row r="182" spans="1:17">
      <c r="A182" t="s">
        <v>1333</v>
      </c>
      <c r="B182" t="s">
        <v>1543</v>
      </c>
      <c r="C182" t="str">
        <f>IF(Ticketsys!C182=CONCATENATE("long","-","haul"," ","flights"),"YES","NO")</f>
        <v>NO</v>
      </c>
      <c r="D182">
        <f t="shared" si="18"/>
        <v>325</v>
      </c>
      <c r="E182">
        <f t="shared" si="19"/>
        <v>65</v>
      </c>
      <c r="F182">
        <f t="shared" si="20"/>
        <v>65</v>
      </c>
      <c r="G182">
        <f t="shared" si="21"/>
        <v>195</v>
      </c>
      <c r="H182" s="2">
        <f t="shared" si="24"/>
        <v>43760</v>
      </c>
      <c r="I182" s="26">
        <f t="shared" si="22"/>
        <v>6.875000000000024</v>
      </c>
      <c r="K182" s="29">
        <f>Ticketsys!H182</f>
        <v>7.375000000000024</v>
      </c>
      <c r="L182" t="s">
        <v>37</v>
      </c>
      <c r="M182" t="s">
        <v>1966</v>
      </c>
      <c r="N182" s="1" t="str">
        <f t="shared" si="25"/>
        <v>long-haul flights</v>
      </c>
      <c r="O182" s="27">
        <f t="shared" si="23"/>
        <v>1.8750000000000047</v>
      </c>
      <c r="P182" t="s">
        <v>1612</v>
      </c>
      <c r="Q182">
        <f>Ticketsys!J182</f>
        <v>2</v>
      </c>
    </row>
    <row r="183" spans="1:17">
      <c r="A183" t="s">
        <v>1334</v>
      </c>
      <c r="B183" t="s">
        <v>1544</v>
      </c>
      <c r="C183" t="str">
        <f>IF(Ticketsys!C183=CONCATENATE("long","-","haul"," ","flights"),"YES","NO")</f>
        <v>NO</v>
      </c>
      <c r="D183">
        <f t="shared" si="18"/>
        <v>325</v>
      </c>
      <c r="E183">
        <f t="shared" si="19"/>
        <v>65</v>
      </c>
      <c r="F183">
        <f t="shared" si="20"/>
        <v>65</v>
      </c>
      <c r="G183">
        <f t="shared" si="21"/>
        <v>195</v>
      </c>
      <c r="H183" s="2">
        <f t="shared" si="24"/>
        <v>43780</v>
      </c>
      <c r="I183" s="26">
        <f t="shared" si="22"/>
        <v>6.9131944444444686</v>
      </c>
      <c r="K183" s="29">
        <f>Ticketsys!H183</f>
        <v>7.4131944444444686</v>
      </c>
      <c r="L183" t="s">
        <v>37</v>
      </c>
      <c r="M183" t="s">
        <v>1972</v>
      </c>
      <c r="N183" s="1" t="str">
        <f t="shared" si="25"/>
        <v>long-haul flights</v>
      </c>
      <c r="O183" s="27">
        <f t="shared" si="23"/>
        <v>1.8854166666666714</v>
      </c>
      <c r="P183" t="s">
        <v>1612</v>
      </c>
      <c r="Q183">
        <f>Ticketsys!J183</f>
        <v>2</v>
      </c>
    </row>
    <row r="184" spans="1:17">
      <c r="A184" t="s">
        <v>1335</v>
      </c>
      <c r="B184" t="s">
        <v>1545</v>
      </c>
      <c r="C184" t="str">
        <f>IF(Ticketsys!C184=CONCATENATE("long","-","haul"," ","flights"),"YES","NO")</f>
        <v>NO</v>
      </c>
      <c r="D184">
        <f t="shared" si="18"/>
        <v>325</v>
      </c>
      <c r="E184">
        <f t="shared" si="19"/>
        <v>65</v>
      </c>
      <c r="F184">
        <f t="shared" si="20"/>
        <v>65</v>
      </c>
      <c r="G184">
        <f t="shared" si="21"/>
        <v>195</v>
      </c>
      <c r="H184" s="2">
        <f t="shared" si="24"/>
        <v>43800</v>
      </c>
      <c r="I184" s="26">
        <f t="shared" si="22"/>
        <v>6.9513888888889133</v>
      </c>
      <c r="K184" s="29">
        <f>Ticketsys!H184</f>
        <v>7.4513888888889133</v>
      </c>
      <c r="L184" t="s">
        <v>37</v>
      </c>
      <c r="M184" t="s">
        <v>1976</v>
      </c>
      <c r="N184" s="1" t="str">
        <f t="shared" si="25"/>
        <v>long-haul flights</v>
      </c>
      <c r="O184" s="27">
        <f t="shared" si="23"/>
        <v>1.8958333333333381</v>
      </c>
      <c r="P184" t="s">
        <v>1612</v>
      </c>
      <c r="Q184">
        <f>Ticketsys!J184</f>
        <v>2</v>
      </c>
    </row>
    <row r="185" spans="1:17">
      <c r="A185" t="s">
        <v>1336</v>
      </c>
      <c r="B185" t="s">
        <v>1546</v>
      </c>
      <c r="C185" t="str">
        <f>IF(Ticketsys!C185=CONCATENATE("long","-","haul"," ","flights"),"YES","NO")</f>
        <v>NO</v>
      </c>
      <c r="D185">
        <f t="shared" si="18"/>
        <v>325</v>
      </c>
      <c r="E185">
        <f t="shared" si="19"/>
        <v>65</v>
      </c>
      <c r="F185">
        <f t="shared" si="20"/>
        <v>65</v>
      </c>
      <c r="G185">
        <f t="shared" si="21"/>
        <v>195</v>
      </c>
      <c r="H185" s="2">
        <f t="shared" si="24"/>
        <v>43820</v>
      </c>
      <c r="I185" s="26">
        <f t="shared" si="22"/>
        <v>6.9895833333333579</v>
      </c>
      <c r="K185" s="29">
        <f>Ticketsys!H185</f>
        <v>7.4895833333333579</v>
      </c>
      <c r="L185" t="s">
        <v>37</v>
      </c>
      <c r="M185" t="s">
        <v>1981</v>
      </c>
      <c r="N185" s="1" t="str">
        <f t="shared" si="25"/>
        <v>long-haul flights</v>
      </c>
      <c r="O185" s="27">
        <f t="shared" si="23"/>
        <v>1.9062500000000049</v>
      </c>
      <c r="P185" t="s">
        <v>1613</v>
      </c>
      <c r="Q185">
        <f>Ticketsys!J185</f>
        <v>2</v>
      </c>
    </row>
    <row r="186" spans="1:17">
      <c r="A186" t="s">
        <v>1337</v>
      </c>
      <c r="B186" t="s">
        <v>1547</v>
      </c>
      <c r="C186" t="str">
        <f>IF(Ticketsys!C186=CONCATENATE("long","-","haul"," ","flights"),"YES","NO")</f>
        <v>NO</v>
      </c>
      <c r="D186">
        <f t="shared" si="18"/>
        <v>325</v>
      </c>
      <c r="E186">
        <f t="shared" si="19"/>
        <v>65</v>
      </c>
      <c r="F186">
        <f t="shared" si="20"/>
        <v>65</v>
      </c>
      <c r="G186">
        <f t="shared" si="21"/>
        <v>195</v>
      </c>
      <c r="H186" s="2">
        <f t="shared" si="24"/>
        <v>43840</v>
      </c>
      <c r="I186" s="26">
        <f t="shared" si="22"/>
        <v>7.0277777777778025</v>
      </c>
      <c r="K186" s="29">
        <f>Ticketsys!H186</f>
        <v>7.5277777777778025</v>
      </c>
      <c r="L186" t="s">
        <v>37</v>
      </c>
      <c r="M186" t="s">
        <v>1986</v>
      </c>
      <c r="N186" s="1" t="str">
        <f t="shared" si="25"/>
        <v>long-haul flights</v>
      </c>
      <c r="O186" s="27">
        <f t="shared" si="23"/>
        <v>1.9166666666666716</v>
      </c>
      <c r="P186" t="s">
        <v>1612</v>
      </c>
      <c r="Q186">
        <f>Ticketsys!J186</f>
        <v>2</v>
      </c>
    </row>
    <row r="187" spans="1:17">
      <c r="A187" t="s">
        <v>1338</v>
      </c>
      <c r="B187" t="s">
        <v>1548</v>
      </c>
      <c r="C187" t="str">
        <f>IF(Ticketsys!C187=CONCATENATE("long","-","haul"," ","flights"),"YES","NO")</f>
        <v>NO</v>
      </c>
      <c r="D187">
        <f t="shared" si="18"/>
        <v>325</v>
      </c>
      <c r="E187">
        <f t="shared" si="19"/>
        <v>65</v>
      </c>
      <c r="F187">
        <f t="shared" si="20"/>
        <v>65</v>
      </c>
      <c r="G187">
        <f t="shared" si="21"/>
        <v>195</v>
      </c>
      <c r="H187" s="2">
        <f t="shared" si="24"/>
        <v>43860</v>
      </c>
      <c r="I187" s="26">
        <f t="shared" si="22"/>
        <v>7.0659722222222472</v>
      </c>
      <c r="K187" s="29">
        <f>Ticketsys!H187</f>
        <v>7.5659722222222472</v>
      </c>
      <c r="L187" t="s">
        <v>37</v>
      </c>
      <c r="M187" t="s">
        <v>1990</v>
      </c>
      <c r="N187" s="1" t="str">
        <f t="shared" si="25"/>
        <v>long-haul flights</v>
      </c>
      <c r="O187" s="27">
        <f t="shared" si="23"/>
        <v>1.9270833333333384</v>
      </c>
      <c r="P187" t="s">
        <v>1614</v>
      </c>
      <c r="Q187">
        <f>Ticketsys!J187</f>
        <v>2</v>
      </c>
    </row>
    <row r="188" spans="1:17">
      <c r="A188" t="s">
        <v>1339</v>
      </c>
      <c r="B188" t="s">
        <v>1549</v>
      </c>
      <c r="C188" t="str">
        <f>IF(Ticketsys!C188=CONCATENATE("long","-","haul"," ","flights"),"YES","NO")</f>
        <v>NO</v>
      </c>
      <c r="D188">
        <f t="shared" si="18"/>
        <v>325</v>
      </c>
      <c r="E188">
        <f t="shared" si="19"/>
        <v>65</v>
      </c>
      <c r="F188">
        <f t="shared" si="20"/>
        <v>65</v>
      </c>
      <c r="G188">
        <f t="shared" si="21"/>
        <v>195</v>
      </c>
      <c r="H188" s="2">
        <f t="shared" si="24"/>
        <v>42035</v>
      </c>
      <c r="I188" s="26">
        <f t="shared" si="22"/>
        <v>7.1041666666666918</v>
      </c>
      <c r="K188" s="29">
        <f>Ticketsys!H188</f>
        <v>7.6041666666666918</v>
      </c>
      <c r="L188" t="s">
        <v>37</v>
      </c>
      <c r="M188" t="s">
        <v>1994</v>
      </c>
      <c r="N188" s="1" t="str">
        <f t="shared" si="25"/>
        <v>long-haul flights</v>
      </c>
      <c r="O188" s="27">
        <f t="shared" si="23"/>
        <v>1.9375000000000051</v>
      </c>
      <c r="P188" t="s">
        <v>1614</v>
      </c>
      <c r="Q188">
        <f>Ticketsys!J188</f>
        <v>2</v>
      </c>
    </row>
    <row r="189" spans="1:17">
      <c r="A189" t="s">
        <v>1340</v>
      </c>
      <c r="B189" t="s">
        <v>1550</v>
      </c>
      <c r="C189" t="str">
        <f>IF(Ticketsys!C189=CONCATENATE("long","-","haul"," ","flights"),"YES","NO")</f>
        <v>NO</v>
      </c>
      <c r="D189">
        <f t="shared" si="18"/>
        <v>325</v>
      </c>
      <c r="E189">
        <f t="shared" si="19"/>
        <v>65</v>
      </c>
      <c r="F189">
        <f t="shared" si="20"/>
        <v>65</v>
      </c>
      <c r="G189">
        <f t="shared" si="21"/>
        <v>195</v>
      </c>
      <c r="H189" s="2">
        <f t="shared" si="24"/>
        <v>42055</v>
      </c>
      <c r="I189" s="26">
        <f t="shared" si="22"/>
        <v>7.1423611111111365</v>
      </c>
      <c r="K189" s="29">
        <f>Ticketsys!H189</f>
        <v>7.6423611111111365</v>
      </c>
      <c r="L189" t="s">
        <v>37</v>
      </c>
      <c r="M189" t="s">
        <v>1999</v>
      </c>
      <c r="N189" s="1" t="str">
        <f t="shared" si="25"/>
        <v>long-haul flights</v>
      </c>
      <c r="O189" s="27">
        <f t="shared" si="23"/>
        <v>1.9479166666666718</v>
      </c>
      <c r="P189" t="s">
        <v>1614</v>
      </c>
      <c r="Q189">
        <f>Ticketsys!J189</f>
        <v>2</v>
      </c>
    </row>
    <row r="190" spans="1:17">
      <c r="A190" t="s">
        <v>1341</v>
      </c>
      <c r="B190" t="s">
        <v>1551</v>
      </c>
      <c r="C190" t="str">
        <f>IF(Ticketsys!C190=CONCATENATE("long","-","haul"," ","flights"),"YES","NO")</f>
        <v>NO</v>
      </c>
      <c r="D190">
        <f t="shared" si="18"/>
        <v>325</v>
      </c>
      <c r="E190">
        <f t="shared" si="19"/>
        <v>65</v>
      </c>
      <c r="F190">
        <f t="shared" si="20"/>
        <v>65</v>
      </c>
      <c r="G190">
        <f t="shared" si="21"/>
        <v>195</v>
      </c>
      <c r="H190" s="2">
        <f t="shared" si="24"/>
        <v>42075</v>
      </c>
      <c r="I190" s="26">
        <f t="shared" si="22"/>
        <v>7.1805555555555811</v>
      </c>
      <c r="K190" s="29">
        <f>Ticketsys!H190</f>
        <v>7.6805555555555811</v>
      </c>
      <c r="L190" t="s">
        <v>37</v>
      </c>
      <c r="M190" t="s">
        <v>2003</v>
      </c>
      <c r="N190" s="1" t="str">
        <f t="shared" si="25"/>
        <v>long-haul flights</v>
      </c>
      <c r="O190" s="27">
        <f t="shared" si="23"/>
        <v>1.9583333333333386</v>
      </c>
      <c r="P190" t="s">
        <v>1614</v>
      </c>
      <c r="Q190">
        <f>Ticketsys!J190</f>
        <v>2</v>
      </c>
    </row>
    <row r="191" spans="1:17">
      <c r="A191" t="s">
        <v>1342</v>
      </c>
      <c r="B191" t="s">
        <v>1552</v>
      </c>
      <c r="C191" t="str">
        <f>IF(Ticketsys!C191=CONCATENATE("long","-","haul"," ","flights"),"YES","NO")</f>
        <v>NO</v>
      </c>
      <c r="D191">
        <f t="shared" si="18"/>
        <v>325</v>
      </c>
      <c r="E191">
        <f t="shared" si="19"/>
        <v>65</v>
      </c>
      <c r="F191">
        <f t="shared" si="20"/>
        <v>65</v>
      </c>
      <c r="G191">
        <f t="shared" si="21"/>
        <v>195</v>
      </c>
      <c r="H191" s="2">
        <f t="shared" si="24"/>
        <v>42095</v>
      </c>
      <c r="I191" s="26">
        <f t="shared" si="22"/>
        <v>7.2187500000000258</v>
      </c>
      <c r="K191" s="29">
        <f>Ticketsys!H191</f>
        <v>7.7187500000000258</v>
      </c>
      <c r="L191" t="s">
        <v>37</v>
      </c>
      <c r="M191" t="s">
        <v>2008</v>
      </c>
      <c r="N191" s="1" t="str">
        <f t="shared" si="25"/>
        <v>long-haul flights</v>
      </c>
      <c r="O191" s="27">
        <f t="shared" si="23"/>
        <v>1.9687500000000053</v>
      </c>
      <c r="P191" t="s">
        <v>1614</v>
      </c>
      <c r="Q191">
        <f>Ticketsys!J191</f>
        <v>2</v>
      </c>
    </row>
    <row r="192" spans="1:17">
      <c r="A192" t="s">
        <v>1343</v>
      </c>
      <c r="B192" t="s">
        <v>1553</v>
      </c>
      <c r="C192" t="str">
        <f>IF(Ticketsys!C192=CONCATENATE("long","-","haul"," ","flights"),"YES","NO")</f>
        <v>NO</v>
      </c>
      <c r="D192">
        <f t="shared" si="18"/>
        <v>325</v>
      </c>
      <c r="E192">
        <f t="shared" si="19"/>
        <v>65</v>
      </c>
      <c r="F192">
        <f t="shared" si="20"/>
        <v>65</v>
      </c>
      <c r="G192">
        <f t="shared" si="21"/>
        <v>195</v>
      </c>
      <c r="H192" s="2">
        <f t="shared" si="24"/>
        <v>42115</v>
      </c>
      <c r="I192" s="26">
        <f t="shared" si="22"/>
        <v>7.2569444444444704</v>
      </c>
      <c r="K192" s="29">
        <f>Ticketsys!H192</f>
        <v>7.7569444444444704</v>
      </c>
      <c r="L192" t="s">
        <v>37</v>
      </c>
      <c r="M192" t="s">
        <v>2012</v>
      </c>
      <c r="N192" s="1" t="str">
        <f t="shared" si="25"/>
        <v>long-haul flights</v>
      </c>
      <c r="O192" s="27">
        <f t="shared" si="23"/>
        <v>1.9791666666666721</v>
      </c>
      <c r="P192" t="s">
        <v>1612</v>
      </c>
      <c r="Q192">
        <f>Ticketsys!J192</f>
        <v>2</v>
      </c>
    </row>
    <row r="193" spans="1:17">
      <c r="A193" t="s">
        <v>1344</v>
      </c>
      <c r="B193" t="s">
        <v>1554</v>
      </c>
      <c r="C193" t="str">
        <f>IF(Ticketsys!C193=CONCATENATE("long","-","haul"," ","flights"),"YES","NO")</f>
        <v>NO</v>
      </c>
      <c r="D193">
        <f t="shared" si="18"/>
        <v>325</v>
      </c>
      <c r="E193">
        <f t="shared" si="19"/>
        <v>65</v>
      </c>
      <c r="F193">
        <f t="shared" si="20"/>
        <v>65</v>
      </c>
      <c r="G193">
        <f t="shared" si="21"/>
        <v>195</v>
      </c>
      <c r="H193" s="2">
        <f t="shared" si="24"/>
        <v>42135</v>
      </c>
      <c r="I193" s="26">
        <f t="shared" si="22"/>
        <v>7.295138888888915</v>
      </c>
      <c r="K193" s="29">
        <f>Ticketsys!H193</f>
        <v>7.795138888888915</v>
      </c>
      <c r="L193" t="s">
        <v>37</v>
      </c>
      <c r="M193" t="s">
        <v>2016</v>
      </c>
      <c r="N193" s="1" t="str">
        <f t="shared" si="25"/>
        <v>long-haul flights</v>
      </c>
      <c r="O193" s="27">
        <f t="shared" si="23"/>
        <v>1.9895833333333388</v>
      </c>
      <c r="P193" t="s">
        <v>1614</v>
      </c>
      <c r="Q193">
        <f>Ticketsys!J193</f>
        <v>2</v>
      </c>
    </row>
    <row r="194" spans="1:17">
      <c r="A194" t="s">
        <v>1345</v>
      </c>
      <c r="B194" t="s">
        <v>1555</v>
      </c>
      <c r="C194" t="str">
        <f>IF(Ticketsys!C194=CONCATENATE("long","-","haul"," ","flights"),"YES","NO")</f>
        <v>NO</v>
      </c>
      <c r="D194">
        <f t="shared" si="18"/>
        <v>325</v>
      </c>
      <c r="E194">
        <f t="shared" si="19"/>
        <v>65</v>
      </c>
      <c r="F194">
        <f t="shared" si="20"/>
        <v>65</v>
      </c>
      <c r="G194">
        <f t="shared" si="21"/>
        <v>195</v>
      </c>
      <c r="H194" s="2">
        <f t="shared" si="24"/>
        <v>42155</v>
      </c>
      <c r="I194" s="26">
        <f t="shared" si="22"/>
        <v>7.3333333333333597</v>
      </c>
      <c r="K194" s="29">
        <f>Ticketsys!H194</f>
        <v>7.8333333333333597</v>
      </c>
      <c r="L194" t="s">
        <v>37</v>
      </c>
      <c r="M194" t="s">
        <v>2021</v>
      </c>
      <c r="N194" s="1" t="str">
        <f t="shared" si="25"/>
        <v>long-haul flights</v>
      </c>
      <c r="O194" s="27">
        <f t="shared" si="23"/>
        <v>2.0000000000000053</v>
      </c>
      <c r="P194" t="s">
        <v>1612</v>
      </c>
      <c r="Q194">
        <f>Ticketsys!J194</f>
        <v>2</v>
      </c>
    </row>
    <row r="195" spans="1:17">
      <c r="A195" t="s">
        <v>1346</v>
      </c>
      <c r="B195" t="s">
        <v>1556</v>
      </c>
      <c r="C195" t="str">
        <f>IF(Ticketsys!C195=CONCATENATE("long","-","haul"," ","flights"),"YES","NO")</f>
        <v>NO</v>
      </c>
      <c r="D195">
        <f t="shared" ref="D195:D201" si="26">IF(B195=CONCATENATE("Airbus","A220"),135,(IF(B195=CONCATENATE("Airbus","A320"),150,325)))</f>
        <v>325</v>
      </c>
      <c r="E195">
        <f t="shared" ref="E195:E201" si="27">D195*(20/100)</f>
        <v>65</v>
      </c>
      <c r="F195">
        <f t="shared" ref="F195:F201" si="28">D195*(20/100)</f>
        <v>65</v>
      </c>
      <c r="G195">
        <f t="shared" ref="G195:G201" si="29">D195*(60/100)</f>
        <v>195</v>
      </c>
      <c r="H195" s="2">
        <f t="shared" si="24"/>
        <v>42175</v>
      </c>
      <c r="I195" s="26">
        <f t="shared" si="22"/>
        <v>7.3715277777778043</v>
      </c>
      <c r="K195" s="29">
        <f>Ticketsys!H195</f>
        <v>7.8715277777778043</v>
      </c>
      <c r="L195" t="s">
        <v>37</v>
      </c>
      <c r="M195" t="s">
        <v>2026</v>
      </c>
      <c r="N195" s="1" t="str">
        <f t="shared" si="25"/>
        <v>long-haul flights</v>
      </c>
      <c r="O195" s="27">
        <f t="shared" si="23"/>
        <v>2.0104166666666718</v>
      </c>
      <c r="P195" t="s">
        <v>1612</v>
      </c>
      <c r="Q195">
        <f>Ticketsys!J195</f>
        <v>2</v>
      </c>
    </row>
    <row r="196" spans="1:17">
      <c r="A196" t="s">
        <v>1347</v>
      </c>
      <c r="B196" t="s">
        <v>1557</v>
      </c>
      <c r="C196" t="str">
        <f>IF(Ticketsys!C196=CONCATENATE("long","-","haul"," ","flights"),"YES","NO")</f>
        <v>NO</v>
      </c>
      <c r="D196">
        <f t="shared" si="26"/>
        <v>325</v>
      </c>
      <c r="E196">
        <f t="shared" si="27"/>
        <v>65</v>
      </c>
      <c r="F196">
        <f t="shared" si="28"/>
        <v>65</v>
      </c>
      <c r="G196">
        <f t="shared" si="29"/>
        <v>195</v>
      </c>
      <c r="H196" s="2">
        <f t="shared" si="24"/>
        <v>42195</v>
      </c>
      <c r="I196" s="26">
        <f t="shared" ref="I196:I201" si="30">I195+"00:55:00"</f>
        <v>7.409722222222249</v>
      </c>
      <c r="K196" s="29">
        <f>Ticketsys!H196</f>
        <v>7.909722222222249</v>
      </c>
      <c r="L196" t="s">
        <v>37</v>
      </c>
      <c r="M196" t="s">
        <v>2030</v>
      </c>
      <c r="N196" s="1" t="str">
        <f t="shared" si="25"/>
        <v>long-haul flights</v>
      </c>
      <c r="O196" s="27">
        <f t="shared" ref="O196:O201" si="31">O195+"00:15:00"</f>
        <v>2.0208333333333384</v>
      </c>
      <c r="P196" t="s">
        <v>1614</v>
      </c>
      <c r="Q196">
        <f>Ticketsys!J196</f>
        <v>2</v>
      </c>
    </row>
    <row r="197" spans="1:17">
      <c r="A197" t="s">
        <v>1348</v>
      </c>
      <c r="B197" t="s">
        <v>1558</v>
      </c>
      <c r="C197" t="str">
        <f>IF(Ticketsys!C197=CONCATENATE("long","-","haul"," ","flights"),"YES","NO")</f>
        <v>NO</v>
      </c>
      <c r="D197">
        <f t="shared" si="26"/>
        <v>325</v>
      </c>
      <c r="E197">
        <f t="shared" si="27"/>
        <v>65</v>
      </c>
      <c r="F197">
        <f t="shared" si="28"/>
        <v>65</v>
      </c>
      <c r="G197">
        <f t="shared" si="29"/>
        <v>195</v>
      </c>
      <c r="H197" s="2">
        <f t="shared" si="24"/>
        <v>42215</v>
      </c>
      <c r="I197" s="26">
        <f t="shared" si="30"/>
        <v>7.4479166666666936</v>
      </c>
      <c r="K197" s="29">
        <f>Ticketsys!H197</f>
        <v>7.9479166666666936</v>
      </c>
      <c r="L197" t="s">
        <v>37</v>
      </c>
      <c r="M197" t="s">
        <v>2035</v>
      </c>
      <c r="N197" s="1" t="str">
        <f t="shared" si="25"/>
        <v>long-haul flights</v>
      </c>
      <c r="O197" s="27">
        <f t="shared" si="31"/>
        <v>2.0312500000000049</v>
      </c>
      <c r="P197" t="s">
        <v>1614</v>
      </c>
      <c r="Q197">
        <f>Ticketsys!J197</f>
        <v>2</v>
      </c>
    </row>
    <row r="198" spans="1:17">
      <c r="A198" t="s">
        <v>1349</v>
      </c>
      <c r="B198" t="s">
        <v>1559</v>
      </c>
      <c r="C198" t="str">
        <f>IF(Ticketsys!C198=CONCATENATE("long","-","haul"," ","flights"),"YES","NO")</f>
        <v>NO</v>
      </c>
      <c r="D198">
        <f t="shared" si="26"/>
        <v>325</v>
      </c>
      <c r="E198">
        <f t="shared" si="27"/>
        <v>65</v>
      </c>
      <c r="F198">
        <f t="shared" si="28"/>
        <v>65</v>
      </c>
      <c r="G198">
        <f t="shared" si="29"/>
        <v>195</v>
      </c>
      <c r="H198" s="2">
        <f t="shared" si="24"/>
        <v>42235</v>
      </c>
      <c r="I198" s="26">
        <f t="shared" si="30"/>
        <v>7.4861111111111382</v>
      </c>
      <c r="K198" s="29">
        <f>Ticketsys!H198</f>
        <v>7.9861111111111382</v>
      </c>
      <c r="L198" t="s">
        <v>37</v>
      </c>
      <c r="M198" t="s">
        <v>2040</v>
      </c>
      <c r="N198" s="1" t="str">
        <f>CONCATENATE("long","-","haul"," ","flights")</f>
        <v>long-haul flights</v>
      </c>
      <c r="O198" s="27">
        <f t="shared" si="31"/>
        <v>2.0416666666666714</v>
      </c>
      <c r="P198" t="s">
        <v>1614</v>
      </c>
      <c r="Q198">
        <f>Ticketsys!J198</f>
        <v>2</v>
      </c>
    </row>
    <row r="199" spans="1:17">
      <c r="A199" t="s">
        <v>1350</v>
      </c>
      <c r="B199" t="s">
        <v>1560</v>
      </c>
      <c r="C199" t="str">
        <f>IF(Ticketsys!C199=CONCATENATE("long","-","haul"," ","flights"),"YES","NO")</f>
        <v>NO</v>
      </c>
      <c r="D199">
        <f t="shared" si="26"/>
        <v>325</v>
      </c>
      <c r="E199">
        <f t="shared" si="27"/>
        <v>65</v>
      </c>
      <c r="F199">
        <f t="shared" si="28"/>
        <v>65</v>
      </c>
      <c r="G199">
        <f t="shared" si="29"/>
        <v>195</v>
      </c>
      <c r="H199" s="2">
        <f t="shared" si="24"/>
        <v>42255</v>
      </c>
      <c r="I199" s="26">
        <f t="shared" si="30"/>
        <v>7.5243055555555829</v>
      </c>
      <c r="K199" s="29">
        <f>Ticketsys!H199</f>
        <v>8.024305555555582</v>
      </c>
      <c r="L199" t="s">
        <v>37</v>
      </c>
      <c r="M199" t="s">
        <v>2044</v>
      </c>
      <c r="N199" s="1" t="str">
        <f t="shared" si="25"/>
        <v>long-haul flights</v>
      </c>
      <c r="O199" s="27">
        <f t="shared" si="31"/>
        <v>2.0520833333333379</v>
      </c>
      <c r="P199" t="s">
        <v>1614</v>
      </c>
      <c r="Q199">
        <f>Ticketsys!J199</f>
        <v>2</v>
      </c>
    </row>
    <row r="200" spans="1:17">
      <c r="A200" t="s">
        <v>1351</v>
      </c>
      <c r="B200" t="s">
        <v>1561</v>
      </c>
      <c r="C200" t="str">
        <f>IF(Ticketsys!C200=CONCATENATE("long","-","haul"," ","flights"),"YES","NO")</f>
        <v>NO</v>
      </c>
      <c r="D200">
        <f t="shared" si="26"/>
        <v>325</v>
      </c>
      <c r="E200">
        <f t="shared" si="27"/>
        <v>65</v>
      </c>
      <c r="F200">
        <f t="shared" si="28"/>
        <v>65</v>
      </c>
      <c r="G200">
        <f t="shared" si="29"/>
        <v>195</v>
      </c>
      <c r="H200" s="2">
        <f t="shared" si="24"/>
        <v>42275</v>
      </c>
      <c r="I200" s="26">
        <f t="shared" si="30"/>
        <v>7.5625000000000275</v>
      </c>
      <c r="K200" s="29">
        <f>Ticketsys!H200</f>
        <v>8.0625000000000284</v>
      </c>
      <c r="L200" t="s">
        <v>37</v>
      </c>
      <c r="M200" t="s">
        <v>2048</v>
      </c>
      <c r="N200" s="1" t="str">
        <f t="shared" si="25"/>
        <v>long-haul flights</v>
      </c>
      <c r="O200" s="27">
        <f t="shared" si="31"/>
        <v>2.0625000000000044</v>
      </c>
      <c r="P200" t="s">
        <v>1614</v>
      </c>
      <c r="Q200">
        <f>Ticketsys!J200</f>
        <v>2</v>
      </c>
    </row>
    <row r="201" spans="1:17">
      <c r="A201" t="s">
        <v>1352</v>
      </c>
      <c r="B201" t="s">
        <v>1562</v>
      </c>
      <c r="C201" t="str">
        <f>IF(Ticketsys!C201=CONCATENATE("long","-","haul"," ","flights"),"YES","NO")</f>
        <v>NO</v>
      </c>
      <c r="D201">
        <f t="shared" si="26"/>
        <v>325</v>
      </c>
      <c r="E201">
        <f t="shared" si="27"/>
        <v>65</v>
      </c>
      <c r="F201">
        <f t="shared" si="28"/>
        <v>65</v>
      </c>
      <c r="G201">
        <f t="shared" si="29"/>
        <v>195</v>
      </c>
      <c r="H201" s="2">
        <f t="shared" si="24"/>
        <v>42295</v>
      </c>
      <c r="I201" s="26">
        <f t="shared" si="30"/>
        <v>7.6006944444444722</v>
      </c>
      <c r="K201" s="29">
        <f>Ticketsys!H201</f>
        <v>8.1006944444444713</v>
      </c>
      <c r="L201" t="s">
        <v>37</v>
      </c>
      <c r="M201" t="s">
        <v>2052</v>
      </c>
      <c r="N201" s="1" t="str">
        <f t="shared" si="25"/>
        <v>long-haul flights</v>
      </c>
      <c r="O201" s="27">
        <f t="shared" si="31"/>
        <v>2.072916666666671</v>
      </c>
      <c r="P201" t="s">
        <v>1613</v>
      </c>
      <c r="Q201">
        <f>Ticketsys!J201</f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/>
  <dimension ref="A1:O201"/>
  <sheetViews>
    <sheetView topLeftCell="C16" workbookViewId="0">
      <selection activeCell="K12" sqref="K12"/>
    </sheetView>
  </sheetViews>
  <sheetFormatPr baseColWidth="10" defaultColWidth="11.42578125" defaultRowHeight="15"/>
  <cols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5">
      <c r="A1" s="9" t="s">
        <v>18</v>
      </c>
      <c r="B1" s="9" t="s">
        <v>72</v>
      </c>
      <c r="C1" s="9" t="s">
        <v>86</v>
      </c>
      <c r="D1" s="4" t="s">
        <v>73</v>
      </c>
      <c r="E1" s="4" t="s">
        <v>87</v>
      </c>
      <c r="F1" s="4" t="s">
        <v>74</v>
      </c>
      <c r="G1" s="4" t="s">
        <v>75</v>
      </c>
      <c r="H1" s="4" t="s">
        <v>76</v>
      </c>
      <c r="I1" s="4" t="s">
        <v>78</v>
      </c>
      <c r="J1" s="4" t="s">
        <v>79</v>
      </c>
      <c r="K1" s="6" t="s">
        <v>104</v>
      </c>
      <c r="L1" s="4" t="s">
        <v>105</v>
      </c>
    </row>
    <row r="2" spans="1:15">
      <c r="A2" s="10" t="s">
        <v>24</v>
      </c>
      <c r="B2" t="s">
        <v>1363</v>
      </c>
      <c r="C2" s="25" t="str">
        <f>CONCATENATE("Airbus","A220")</f>
        <v>AirbusA220</v>
      </c>
      <c r="D2" t="str">
        <f>IF(Ticketsys!D2=CONCATENATE("long","-","haul"," ","flights"),"YES","NO")</f>
        <v>NO</v>
      </c>
      <c r="E2">
        <f>IF(C2=CONCATENATE("Airbus","A220"),135,(IF(C2=CONCATENATE("Airbus","A320"),150,325)))</f>
        <v>135</v>
      </c>
      <c r="F2">
        <f>E2*(20/100)</f>
        <v>27</v>
      </c>
      <c r="G2">
        <f>E2*(20/100)</f>
        <v>27</v>
      </c>
      <c r="H2">
        <f>E2*(60/100)</f>
        <v>81</v>
      </c>
      <c r="I2" s="27">
        <v>0</v>
      </c>
      <c r="J2">
        <f ca="1">IF(I+J2:J932=0,"/"," ")</f>
        <v>0</v>
      </c>
      <c r="K2" s="28">
        <f>Ticketsys!F2</f>
        <v>0</v>
      </c>
      <c r="L2" s="27">
        <f>K2+I2</f>
        <v>0</v>
      </c>
      <c r="M2">
        <v>123</v>
      </c>
      <c r="N2" t="str">
        <f>CONCATENATE(B2,M2)</f>
        <v>A123123</v>
      </c>
      <c r="O2" t="s">
        <v>1363</v>
      </c>
    </row>
    <row r="3" spans="1:15">
      <c r="A3" s="10" t="s">
        <v>25</v>
      </c>
      <c r="B3" t="s">
        <v>1364</v>
      </c>
      <c r="C3" s="25" t="str">
        <f>CONCATENATE("Airbus","A320")</f>
        <v>AirbusA320</v>
      </c>
      <c r="D3" t="str">
        <f>IF(Ticketsys!D3=CONCATENATE("long","-","haul"," ","flights"),"YES","NO")</f>
        <v>NO</v>
      </c>
      <c r="E3">
        <f t="shared" ref="E3:E66" si="0">IF(C3=CONCATENATE("Airbus","A220"),135,(IF(C3=CONCATENATE("Airbus","A320"),150,325)))</f>
        <v>150</v>
      </c>
      <c r="F3">
        <f t="shared" ref="F3:F66" si="1">E3*(20/100)</f>
        <v>30</v>
      </c>
      <c r="G3">
        <f t="shared" ref="G3:G66" si="2">E3*(20/100)</f>
        <v>30</v>
      </c>
      <c r="H3">
        <f t="shared" ref="H3:H66" si="3">E3*(60/100)</f>
        <v>90</v>
      </c>
      <c r="I3" s="27">
        <f>I2+"00:15:00"</f>
        <v>1.0416666666666666E-2</v>
      </c>
      <c r="J3" t="s">
        <v>1612</v>
      </c>
      <c r="K3" s="28">
        <f>Ticketsys!F3</f>
        <v>3.8194444444444441E-2</v>
      </c>
      <c r="L3" s="27">
        <f t="shared" ref="L3:L66" si="4">K3+I3</f>
        <v>4.8611111111111105E-2</v>
      </c>
      <c r="M3">
        <f>M2+6</f>
        <v>129</v>
      </c>
      <c r="N3" t="str">
        <f t="shared" ref="N3:N66" si="5">CONCATENATE(B3,M3)</f>
        <v>B129129</v>
      </c>
      <c r="O3" t="s">
        <v>1364</v>
      </c>
    </row>
    <row r="4" spans="1:15">
      <c r="A4" s="10" t="s">
        <v>26</v>
      </c>
      <c r="B4" t="s">
        <v>1365</v>
      </c>
      <c r="C4" s="25" t="str">
        <f>CONCATENATE("Airbus","A350")</f>
        <v>AirbusA350</v>
      </c>
      <c r="D4" t="str">
        <f>IF(Ticketsys!D4=CONCATENATE("long","-","haul"," ","flights"),"YES","NO")</f>
        <v>NO</v>
      </c>
      <c r="E4">
        <f t="shared" si="0"/>
        <v>325</v>
      </c>
      <c r="F4">
        <f t="shared" si="1"/>
        <v>65</v>
      </c>
      <c r="G4">
        <f t="shared" si="2"/>
        <v>65</v>
      </c>
      <c r="H4">
        <f t="shared" si="3"/>
        <v>195</v>
      </c>
      <c r="I4" s="27">
        <f t="shared" ref="I4:I67" si="6">I3+"00:15:00"</f>
        <v>2.0833333333333332E-2</v>
      </c>
      <c r="J4" t="s">
        <v>1613</v>
      </c>
      <c r="K4" s="28">
        <f>Ticketsys!F4</f>
        <v>7.6388888888888881E-2</v>
      </c>
      <c r="L4" s="27">
        <f t="shared" si="4"/>
        <v>9.722222222222221E-2</v>
      </c>
      <c r="M4">
        <f t="shared" ref="M4:M67" si="7">M3+6</f>
        <v>135</v>
      </c>
      <c r="N4" t="str">
        <f t="shared" si="5"/>
        <v>C135135</v>
      </c>
      <c r="O4" t="s">
        <v>1365</v>
      </c>
    </row>
    <row r="5" spans="1:15">
      <c r="A5" s="10" t="s">
        <v>27</v>
      </c>
      <c r="B5" t="s">
        <v>1366</v>
      </c>
      <c r="C5" s="25" t="str">
        <f t="shared" ref="C5:C36" si="8">CONCATENATE("Airbus","A220")</f>
        <v>AirbusA220</v>
      </c>
      <c r="D5" t="str">
        <f>IF(Ticketsys!D5=CONCATENATE("long","-","haul"," ","flights"),"YES","NO")</f>
        <v>NO</v>
      </c>
      <c r="E5">
        <f t="shared" si="0"/>
        <v>135</v>
      </c>
      <c r="F5">
        <f t="shared" si="1"/>
        <v>27</v>
      </c>
      <c r="G5">
        <f t="shared" si="2"/>
        <v>27</v>
      </c>
      <c r="H5">
        <f t="shared" si="3"/>
        <v>81</v>
      </c>
      <c r="I5" s="27">
        <f t="shared" si="6"/>
        <v>3.125E-2</v>
      </c>
      <c r="J5" t="s">
        <v>1612</v>
      </c>
      <c r="K5" s="28">
        <f>Ticketsys!F5</f>
        <v>0.11458333333333331</v>
      </c>
      <c r="L5" s="27">
        <f t="shared" si="4"/>
        <v>0.14583333333333331</v>
      </c>
      <c r="M5">
        <f t="shared" si="7"/>
        <v>141</v>
      </c>
      <c r="N5" t="str">
        <f t="shared" si="5"/>
        <v>D141141</v>
      </c>
      <c r="O5" t="s">
        <v>1366</v>
      </c>
    </row>
    <row r="6" spans="1:15">
      <c r="A6" s="10" t="s">
        <v>28</v>
      </c>
      <c r="B6" t="s">
        <v>1367</v>
      </c>
      <c r="C6" s="25" t="str">
        <f t="shared" ref="C6:C37" si="9">CONCATENATE("Airbus","A320")</f>
        <v>AirbusA320</v>
      </c>
      <c r="D6" t="str">
        <f>IF(Ticketsys!D6=CONCATENATE("long","-","haul"," ","flights"),"YES","NO")</f>
        <v>NO</v>
      </c>
      <c r="E6">
        <f t="shared" si="0"/>
        <v>150</v>
      </c>
      <c r="F6">
        <f t="shared" si="1"/>
        <v>30</v>
      </c>
      <c r="G6">
        <f t="shared" si="2"/>
        <v>30</v>
      </c>
      <c r="H6">
        <f t="shared" si="3"/>
        <v>90</v>
      </c>
      <c r="I6" s="27">
        <f t="shared" si="6"/>
        <v>4.1666666666666664E-2</v>
      </c>
      <c r="J6" t="s">
        <v>1614</v>
      </c>
      <c r="K6" s="28">
        <f>Ticketsys!F6</f>
        <v>0.15277777777777776</v>
      </c>
      <c r="L6" s="27">
        <f t="shared" si="4"/>
        <v>0.19444444444444442</v>
      </c>
      <c r="M6">
        <f t="shared" si="7"/>
        <v>147</v>
      </c>
      <c r="N6" t="str">
        <f t="shared" si="5"/>
        <v>E147147</v>
      </c>
      <c r="O6" t="s">
        <v>1367</v>
      </c>
    </row>
    <row r="7" spans="1:15">
      <c r="A7" s="10" t="s">
        <v>29</v>
      </c>
      <c r="B7" t="s">
        <v>1368</v>
      </c>
      <c r="C7" s="25" t="str">
        <f t="shared" ref="C7:C38" si="10">CONCATENATE("Airbus","A350")</f>
        <v>AirbusA350</v>
      </c>
      <c r="D7" t="str">
        <f>IF(Ticketsys!D7=CONCATENATE("long","-","haul"," ","flights"),"YES","NO")</f>
        <v>NO</v>
      </c>
      <c r="E7">
        <f t="shared" si="0"/>
        <v>325</v>
      </c>
      <c r="F7">
        <f t="shared" si="1"/>
        <v>65</v>
      </c>
      <c r="G7">
        <f t="shared" si="2"/>
        <v>65</v>
      </c>
      <c r="H7">
        <f t="shared" si="3"/>
        <v>195</v>
      </c>
      <c r="I7" s="27">
        <f t="shared" si="6"/>
        <v>5.2083333333333329E-2</v>
      </c>
      <c r="J7" t="s">
        <v>1614</v>
      </c>
      <c r="K7" s="28">
        <f>Ticketsys!F7</f>
        <v>0.19097222222222221</v>
      </c>
      <c r="L7" s="27">
        <f t="shared" si="4"/>
        <v>0.24305555555555552</v>
      </c>
      <c r="M7">
        <f t="shared" si="7"/>
        <v>153</v>
      </c>
      <c r="N7" t="str">
        <f t="shared" si="5"/>
        <v>C153153</v>
      </c>
      <c r="O7" t="s">
        <v>1368</v>
      </c>
    </row>
    <row r="8" spans="1:15">
      <c r="A8" s="10" t="s">
        <v>30</v>
      </c>
      <c r="B8" t="s">
        <v>1369</v>
      </c>
      <c r="C8" s="25" t="str">
        <f t="shared" ref="C8:C39" si="11">CONCATENATE("Airbus","A220")</f>
        <v>AirbusA220</v>
      </c>
      <c r="D8" t="str">
        <f>IF(Ticketsys!D8=CONCATENATE("long","-","haul"," ","flights"),"YES","NO")</f>
        <v>NO</v>
      </c>
      <c r="E8">
        <f t="shared" si="0"/>
        <v>135</v>
      </c>
      <c r="F8">
        <f t="shared" si="1"/>
        <v>27</v>
      </c>
      <c r="G8">
        <f t="shared" si="2"/>
        <v>27</v>
      </c>
      <c r="H8">
        <f t="shared" si="3"/>
        <v>81</v>
      </c>
      <c r="I8" s="27">
        <f t="shared" si="6"/>
        <v>6.2499999999999993E-2</v>
      </c>
      <c r="J8" t="s">
        <v>1614</v>
      </c>
      <c r="K8" s="28">
        <f>Ticketsys!F8</f>
        <v>0.22916666666666666</v>
      </c>
      <c r="L8" s="27">
        <f t="shared" si="4"/>
        <v>0.29166666666666663</v>
      </c>
      <c r="M8">
        <f t="shared" si="7"/>
        <v>159</v>
      </c>
      <c r="N8" t="str">
        <f t="shared" si="5"/>
        <v>A159159</v>
      </c>
      <c r="O8" t="s">
        <v>1369</v>
      </c>
    </row>
    <row r="9" spans="1:15">
      <c r="A9" s="10" t="s">
        <v>31</v>
      </c>
      <c r="B9" t="s">
        <v>1370</v>
      </c>
      <c r="C9" s="25" t="str">
        <f t="shared" ref="C9:C40" si="12">CONCATENATE("Airbus","A320")</f>
        <v>AirbusA320</v>
      </c>
      <c r="D9" t="str">
        <f>IF(Ticketsys!D9=CONCATENATE("long","-","haul"," ","flights"),"YES","NO")</f>
        <v>NO</v>
      </c>
      <c r="E9">
        <f t="shared" si="0"/>
        <v>150</v>
      </c>
      <c r="F9">
        <f t="shared" si="1"/>
        <v>30</v>
      </c>
      <c r="G9">
        <f t="shared" si="2"/>
        <v>30</v>
      </c>
      <c r="H9">
        <f t="shared" si="3"/>
        <v>90</v>
      </c>
      <c r="I9" s="27">
        <f t="shared" si="6"/>
        <v>7.2916666666666657E-2</v>
      </c>
      <c r="J9" t="s">
        <v>1614</v>
      </c>
      <c r="K9" s="28">
        <f>Ticketsys!F9</f>
        <v>0.2673611111111111</v>
      </c>
      <c r="L9" s="27">
        <f t="shared" si="4"/>
        <v>0.34027777777777779</v>
      </c>
      <c r="M9">
        <f t="shared" si="7"/>
        <v>165</v>
      </c>
      <c r="N9" t="str">
        <f t="shared" si="5"/>
        <v>B165165</v>
      </c>
      <c r="O9" t="s">
        <v>1370</v>
      </c>
    </row>
    <row r="10" spans="1:15">
      <c r="A10" s="10" t="s">
        <v>32</v>
      </c>
      <c r="B10" t="s">
        <v>1371</v>
      </c>
      <c r="C10" s="25" t="str">
        <f t="shared" ref="C10:C41" si="13">CONCATENATE("Airbus","A350")</f>
        <v>AirbusA350</v>
      </c>
      <c r="D10" t="str">
        <f>IF(Ticketsys!D10=CONCATENATE("long","-","haul"," ","flights"),"YES","NO")</f>
        <v>NO</v>
      </c>
      <c r="E10">
        <f t="shared" si="0"/>
        <v>325</v>
      </c>
      <c r="F10">
        <f t="shared" si="1"/>
        <v>65</v>
      </c>
      <c r="G10">
        <f t="shared" si="2"/>
        <v>65</v>
      </c>
      <c r="H10">
        <f t="shared" si="3"/>
        <v>195</v>
      </c>
      <c r="I10" s="27">
        <f t="shared" si="6"/>
        <v>8.3333333333333329E-2</v>
      </c>
      <c r="J10" t="s">
        <v>1614</v>
      </c>
      <c r="K10" s="28">
        <f>Ticketsys!F10</f>
        <v>0.30555555555555552</v>
      </c>
      <c r="L10" s="27">
        <f t="shared" si="4"/>
        <v>0.38888888888888884</v>
      </c>
      <c r="M10">
        <f t="shared" si="7"/>
        <v>171</v>
      </c>
      <c r="N10" t="str">
        <f t="shared" si="5"/>
        <v>C171171</v>
      </c>
      <c r="O10" t="s">
        <v>1371</v>
      </c>
    </row>
    <row r="11" spans="1:15">
      <c r="A11" s="10" t="s">
        <v>33</v>
      </c>
      <c r="B11" t="s">
        <v>1372</v>
      </c>
      <c r="C11" s="25" t="str">
        <f t="shared" ref="C11:C42" si="14">CONCATENATE("Airbus","A220")</f>
        <v>AirbusA220</v>
      </c>
      <c r="D11" t="str">
        <f>IF(Ticketsys!D11=CONCATENATE("long","-","haul"," ","flights"),"YES","NO")</f>
        <v>NO</v>
      </c>
      <c r="E11">
        <f t="shared" si="0"/>
        <v>135</v>
      </c>
      <c r="F11">
        <f t="shared" si="1"/>
        <v>27</v>
      </c>
      <c r="G11">
        <f t="shared" si="2"/>
        <v>27</v>
      </c>
      <c r="H11">
        <f t="shared" si="3"/>
        <v>81</v>
      </c>
      <c r="I11" s="27">
        <f t="shared" si="6"/>
        <v>9.375E-2</v>
      </c>
      <c r="J11" t="s">
        <v>1612</v>
      </c>
      <c r="K11" s="28">
        <f>Ticketsys!F11</f>
        <v>0.34374999999999994</v>
      </c>
      <c r="L11" s="27">
        <f t="shared" si="4"/>
        <v>0.43749999999999994</v>
      </c>
      <c r="M11">
        <f t="shared" si="7"/>
        <v>177</v>
      </c>
      <c r="N11" t="str">
        <f t="shared" si="5"/>
        <v>A177177</v>
      </c>
      <c r="O11" t="s">
        <v>1372</v>
      </c>
    </row>
    <row r="12" spans="1:15">
      <c r="A12" s="10" t="s">
        <v>24</v>
      </c>
      <c r="B12" t="s">
        <v>1373</v>
      </c>
      <c r="C12" s="25" t="str">
        <f t="shared" ref="C12:C43" si="15">CONCATENATE("Airbus","A320")</f>
        <v>AirbusA320</v>
      </c>
      <c r="D12" t="str">
        <f>IF(Ticketsys!D12=CONCATENATE("long","-","haul"," ","flights"),"YES","NO")</f>
        <v>NO</v>
      </c>
      <c r="E12">
        <f t="shared" si="0"/>
        <v>150</v>
      </c>
      <c r="F12">
        <f t="shared" si="1"/>
        <v>30</v>
      </c>
      <c r="G12">
        <f t="shared" si="2"/>
        <v>30</v>
      </c>
      <c r="H12">
        <f t="shared" si="3"/>
        <v>90</v>
      </c>
      <c r="I12" s="27">
        <f t="shared" si="6"/>
        <v>0.10416666666666667</v>
      </c>
      <c r="J12" t="s">
        <v>1614</v>
      </c>
      <c r="K12" s="28">
        <f>Ticketsys!F12</f>
        <v>0.38194444444444436</v>
      </c>
      <c r="L12" s="27">
        <f t="shared" si="4"/>
        <v>0.48611111111111105</v>
      </c>
      <c r="M12">
        <f t="shared" si="7"/>
        <v>183</v>
      </c>
      <c r="N12" t="str">
        <f t="shared" si="5"/>
        <v>B183183</v>
      </c>
      <c r="O12" t="s">
        <v>1373</v>
      </c>
    </row>
    <row r="13" spans="1:15">
      <c r="A13" s="10" t="s">
        <v>25</v>
      </c>
      <c r="B13" t="s">
        <v>1374</v>
      </c>
      <c r="C13" s="25" t="str">
        <f t="shared" ref="C13:C44" si="16">CONCATENATE("Airbus","A350")</f>
        <v>AirbusA350</v>
      </c>
      <c r="D13" t="str">
        <f>IF(Ticketsys!D13=CONCATENATE("long","-","haul"," ","flights"),"YES","NO")</f>
        <v>NO</v>
      </c>
      <c r="E13">
        <f t="shared" si="0"/>
        <v>325</v>
      </c>
      <c r="F13">
        <f t="shared" si="1"/>
        <v>65</v>
      </c>
      <c r="G13">
        <f t="shared" si="2"/>
        <v>65</v>
      </c>
      <c r="H13">
        <f t="shared" si="3"/>
        <v>195</v>
      </c>
      <c r="I13" s="27">
        <f t="shared" si="6"/>
        <v>0.11458333333333334</v>
      </c>
      <c r="J13" t="s">
        <v>1612</v>
      </c>
      <c r="K13" s="28">
        <f>Ticketsys!F13</f>
        <v>0.42013888888888878</v>
      </c>
      <c r="L13" s="27">
        <f t="shared" si="4"/>
        <v>0.5347222222222221</v>
      </c>
      <c r="M13">
        <f t="shared" si="7"/>
        <v>189</v>
      </c>
      <c r="N13" t="str">
        <f t="shared" si="5"/>
        <v>C189189</v>
      </c>
      <c r="O13" t="s">
        <v>1374</v>
      </c>
    </row>
    <row r="14" spans="1:15">
      <c r="A14" s="10" t="s">
        <v>26</v>
      </c>
      <c r="B14" t="s">
        <v>1375</v>
      </c>
      <c r="C14" s="25" t="str">
        <f t="shared" ref="C14:C45" si="17">CONCATENATE("Airbus","A220")</f>
        <v>AirbusA220</v>
      </c>
      <c r="D14" t="str">
        <f>IF(Ticketsys!D14=CONCATENATE("long","-","haul"," ","flights"),"YES","NO")</f>
        <v>NO</v>
      </c>
      <c r="E14">
        <f t="shared" si="0"/>
        <v>135</v>
      </c>
      <c r="F14">
        <f t="shared" si="1"/>
        <v>27</v>
      </c>
      <c r="G14">
        <f t="shared" si="2"/>
        <v>27</v>
      </c>
      <c r="H14">
        <f t="shared" si="3"/>
        <v>81</v>
      </c>
      <c r="I14" s="27">
        <f t="shared" si="6"/>
        <v>0.125</v>
      </c>
      <c r="J14" t="s">
        <v>1612</v>
      </c>
      <c r="K14" s="28">
        <f>Ticketsys!F14</f>
        <v>0.4583333333333332</v>
      </c>
      <c r="L14" s="27">
        <f t="shared" si="4"/>
        <v>0.58333333333333326</v>
      </c>
      <c r="M14">
        <f t="shared" si="7"/>
        <v>195</v>
      </c>
      <c r="N14" t="str">
        <f t="shared" si="5"/>
        <v>D195195</v>
      </c>
      <c r="O14" t="s">
        <v>1375</v>
      </c>
    </row>
    <row r="15" spans="1:15">
      <c r="A15" s="10" t="s">
        <v>27</v>
      </c>
      <c r="B15" t="s">
        <v>1376</v>
      </c>
      <c r="C15" s="25" t="str">
        <f t="shared" ref="C15:C46" si="18">CONCATENATE("Airbus","A320")</f>
        <v>AirbusA320</v>
      </c>
      <c r="D15" t="str">
        <f>IF(Ticketsys!D15=CONCATENATE("long","-","haul"," ","flights"),"YES","NO")</f>
        <v>NO</v>
      </c>
      <c r="E15">
        <f t="shared" si="0"/>
        <v>150</v>
      </c>
      <c r="F15">
        <f t="shared" si="1"/>
        <v>30</v>
      </c>
      <c r="G15">
        <f t="shared" si="2"/>
        <v>30</v>
      </c>
      <c r="H15">
        <f t="shared" si="3"/>
        <v>90</v>
      </c>
      <c r="I15" s="27">
        <f t="shared" si="6"/>
        <v>0.13541666666666666</v>
      </c>
      <c r="J15" t="s">
        <v>1614</v>
      </c>
      <c r="K15" s="28">
        <f>Ticketsys!F15</f>
        <v>0.49652777777777762</v>
      </c>
      <c r="L15" s="27">
        <f t="shared" si="4"/>
        <v>0.63194444444444431</v>
      </c>
      <c r="M15">
        <f t="shared" si="7"/>
        <v>201</v>
      </c>
      <c r="N15" t="str">
        <f t="shared" si="5"/>
        <v>E201201</v>
      </c>
      <c r="O15" t="s">
        <v>1376</v>
      </c>
    </row>
    <row r="16" spans="1:15">
      <c r="A16" s="10" t="s">
        <v>28</v>
      </c>
      <c r="B16" t="s">
        <v>1377</v>
      </c>
      <c r="C16" s="25" t="str">
        <f t="shared" ref="C16:C47" si="19">CONCATENATE("Airbus","A350")</f>
        <v>AirbusA350</v>
      </c>
      <c r="D16" t="str">
        <f>IF(Ticketsys!D16=CONCATENATE("long","-","haul"," ","flights"),"YES","NO")</f>
        <v>NO</v>
      </c>
      <c r="E16">
        <f t="shared" si="0"/>
        <v>325</v>
      </c>
      <c r="F16">
        <f t="shared" si="1"/>
        <v>65</v>
      </c>
      <c r="G16">
        <f t="shared" si="2"/>
        <v>65</v>
      </c>
      <c r="H16">
        <f t="shared" si="3"/>
        <v>195</v>
      </c>
      <c r="I16" s="27">
        <f t="shared" si="6"/>
        <v>0.14583333333333331</v>
      </c>
      <c r="J16" t="s">
        <v>1614</v>
      </c>
      <c r="K16" s="28">
        <f>Ticketsys!F16</f>
        <v>0.5347222222222221</v>
      </c>
      <c r="L16" s="27">
        <f t="shared" si="4"/>
        <v>0.68055555555555536</v>
      </c>
      <c r="M16">
        <f t="shared" si="7"/>
        <v>207</v>
      </c>
      <c r="N16" t="str">
        <f t="shared" si="5"/>
        <v>C207207</v>
      </c>
      <c r="O16" t="s">
        <v>1377</v>
      </c>
    </row>
    <row r="17" spans="1:15">
      <c r="A17" s="10" t="s">
        <v>29</v>
      </c>
      <c r="B17" t="s">
        <v>1378</v>
      </c>
      <c r="C17" s="25" t="str">
        <f t="shared" ref="C17:C48" si="20">CONCATENATE("Airbus","A220")</f>
        <v>AirbusA220</v>
      </c>
      <c r="D17" t="str">
        <f>IF(Ticketsys!D17=CONCATENATE("long","-","haul"," ","flights"),"YES","NO")</f>
        <v>NO</v>
      </c>
      <c r="E17">
        <f t="shared" si="0"/>
        <v>135</v>
      </c>
      <c r="F17">
        <f t="shared" si="1"/>
        <v>27</v>
      </c>
      <c r="G17">
        <f t="shared" si="2"/>
        <v>27</v>
      </c>
      <c r="H17">
        <f t="shared" si="3"/>
        <v>81</v>
      </c>
      <c r="I17" s="27">
        <f t="shared" si="6"/>
        <v>0.15624999999999997</v>
      </c>
      <c r="J17" t="s">
        <v>1614</v>
      </c>
      <c r="K17" s="28">
        <f>Ticketsys!F17</f>
        <v>0.57291666666666652</v>
      </c>
      <c r="L17" s="27">
        <f t="shared" si="4"/>
        <v>0.72916666666666652</v>
      </c>
      <c r="M17">
        <f t="shared" si="7"/>
        <v>213</v>
      </c>
      <c r="N17" t="str">
        <f t="shared" si="5"/>
        <v>A213213</v>
      </c>
      <c r="O17" t="s">
        <v>1378</v>
      </c>
    </row>
    <row r="18" spans="1:15">
      <c r="A18" s="10" t="s">
        <v>30</v>
      </c>
      <c r="B18" t="s">
        <v>1379</v>
      </c>
      <c r="C18" s="25" t="str">
        <f t="shared" ref="C18:C49" si="21">CONCATENATE("Airbus","A320")</f>
        <v>AirbusA320</v>
      </c>
      <c r="D18" t="str">
        <f>IF(Ticketsys!D18=CONCATENATE("long","-","haul"," ","flights"),"YES","NO")</f>
        <v>NO</v>
      </c>
      <c r="E18">
        <f t="shared" si="0"/>
        <v>150</v>
      </c>
      <c r="F18">
        <f t="shared" si="1"/>
        <v>30</v>
      </c>
      <c r="G18">
        <f t="shared" si="2"/>
        <v>30</v>
      </c>
      <c r="H18">
        <f t="shared" si="3"/>
        <v>90</v>
      </c>
      <c r="I18" s="27">
        <f t="shared" si="6"/>
        <v>0.16666666666666663</v>
      </c>
      <c r="J18" t="s">
        <v>1613</v>
      </c>
      <c r="K18" s="28">
        <f>Ticketsys!F18</f>
        <v>0.61111111111111094</v>
      </c>
      <c r="L18" s="27">
        <f t="shared" si="4"/>
        <v>0.77777777777777757</v>
      </c>
      <c r="M18">
        <f t="shared" si="7"/>
        <v>219</v>
      </c>
      <c r="N18" t="str">
        <f t="shared" si="5"/>
        <v>B219219</v>
      </c>
      <c r="O18" t="s">
        <v>1379</v>
      </c>
    </row>
    <row r="19" spans="1:15">
      <c r="A19" s="10" t="s">
        <v>31</v>
      </c>
      <c r="B19" t="s">
        <v>1380</v>
      </c>
      <c r="C19" s="25" t="str">
        <f t="shared" ref="C19:C50" si="22">CONCATENATE("Airbus","A350")</f>
        <v>AirbusA350</v>
      </c>
      <c r="D19" t="str">
        <f>IF(Ticketsys!D19=CONCATENATE("long","-","haul"," ","flights"),"YES","NO")</f>
        <v>NO</v>
      </c>
      <c r="E19">
        <f t="shared" si="0"/>
        <v>325</v>
      </c>
      <c r="F19">
        <f t="shared" si="1"/>
        <v>65</v>
      </c>
      <c r="G19">
        <f t="shared" si="2"/>
        <v>65</v>
      </c>
      <c r="H19">
        <f t="shared" si="3"/>
        <v>195</v>
      </c>
      <c r="I19" s="27">
        <f t="shared" si="6"/>
        <v>0.17708333333333329</v>
      </c>
      <c r="J19" t="s">
        <v>1612</v>
      </c>
      <c r="K19" s="28">
        <f>Ticketsys!F19</f>
        <v>0.64930555555555536</v>
      </c>
      <c r="L19" s="27">
        <f t="shared" si="4"/>
        <v>0.82638888888888862</v>
      </c>
      <c r="M19">
        <f t="shared" si="7"/>
        <v>225</v>
      </c>
      <c r="N19" t="str">
        <f t="shared" si="5"/>
        <v>C225225</v>
      </c>
      <c r="O19" t="s">
        <v>1380</v>
      </c>
    </row>
    <row r="20" spans="1:15">
      <c r="A20" s="10" t="s">
        <v>32</v>
      </c>
      <c r="B20" t="s">
        <v>1381</v>
      </c>
      <c r="C20" s="25" t="str">
        <f t="shared" ref="C20:C51" si="23">CONCATENATE("Airbus","A220")</f>
        <v>AirbusA220</v>
      </c>
      <c r="D20" t="str">
        <f>IF(Ticketsys!D20=CONCATENATE("long","-","haul"," ","flights"),"YES","NO")</f>
        <v>NO</v>
      </c>
      <c r="E20">
        <f t="shared" si="0"/>
        <v>135</v>
      </c>
      <c r="F20">
        <f t="shared" si="1"/>
        <v>27</v>
      </c>
      <c r="G20">
        <f t="shared" si="2"/>
        <v>27</v>
      </c>
      <c r="H20">
        <f t="shared" si="3"/>
        <v>81</v>
      </c>
      <c r="I20" s="27">
        <f t="shared" si="6"/>
        <v>0.18749999999999994</v>
      </c>
      <c r="J20" t="s">
        <v>1613</v>
      </c>
      <c r="K20" s="28">
        <f>Ticketsys!F20</f>
        <v>0.68749999999999978</v>
      </c>
      <c r="L20" s="27">
        <f t="shared" si="4"/>
        <v>0.87499999999999978</v>
      </c>
      <c r="M20">
        <f t="shared" si="7"/>
        <v>231</v>
      </c>
      <c r="N20" t="str">
        <f t="shared" si="5"/>
        <v>A231231</v>
      </c>
      <c r="O20" t="s">
        <v>1381</v>
      </c>
    </row>
    <row r="21" spans="1:15">
      <c r="A21" s="10" t="s">
        <v>33</v>
      </c>
      <c r="B21" t="s">
        <v>1382</v>
      </c>
      <c r="C21" s="25" t="str">
        <f t="shared" ref="C21:C52" si="24">CONCATENATE("Airbus","A320")</f>
        <v>AirbusA320</v>
      </c>
      <c r="D21" t="str">
        <f>IF(Ticketsys!D21=CONCATENATE("long","-","haul"," ","flights"),"YES","NO")</f>
        <v>NO</v>
      </c>
      <c r="E21">
        <f t="shared" si="0"/>
        <v>150</v>
      </c>
      <c r="F21">
        <f t="shared" si="1"/>
        <v>30</v>
      </c>
      <c r="G21">
        <f t="shared" si="2"/>
        <v>30</v>
      </c>
      <c r="H21">
        <f t="shared" si="3"/>
        <v>90</v>
      </c>
      <c r="I21" s="27">
        <f t="shared" si="6"/>
        <v>0.1979166666666666</v>
      </c>
      <c r="J21" t="s">
        <v>1612</v>
      </c>
      <c r="K21" s="28">
        <f>Ticketsys!F21</f>
        <v>0.7256944444444442</v>
      </c>
      <c r="L21" s="27">
        <f t="shared" si="4"/>
        <v>0.92361111111111083</v>
      </c>
      <c r="M21">
        <f t="shared" si="7"/>
        <v>237</v>
      </c>
      <c r="N21" t="str">
        <f t="shared" si="5"/>
        <v>B237237</v>
      </c>
      <c r="O21" t="s">
        <v>1382</v>
      </c>
    </row>
    <row r="22" spans="1:15">
      <c r="A22" s="10" t="s">
        <v>24</v>
      </c>
      <c r="B22" t="s">
        <v>1383</v>
      </c>
      <c r="C22" s="25" t="str">
        <f t="shared" ref="C22:C53" si="25">CONCATENATE("Airbus","A350")</f>
        <v>AirbusA350</v>
      </c>
      <c r="D22" t="str">
        <f>IF(Ticketsys!D22=CONCATENATE("long","-","haul"," ","flights"),"YES","NO")</f>
        <v>NO</v>
      </c>
      <c r="E22">
        <f t="shared" si="0"/>
        <v>325</v>
      </c>
      <c r="F22">
        <f t="shared" si="1"/>
        <v>65</v>
      </c>
      <c r="G22">
        <f t="shared" si="2"/>
        <v>65</v>
      </c>
      <c r="H22">
        <f t="shared" si="3"/>
        <v>195</v>
      </c>
      <c r="I22" s="27">
        <f t="shared" si="6"/>
        <v>0.20833333333333326</v>
      </c>
      <c r="J22" t="s">
        <v>1614</v>
      </c>
      <c r="K22" s="28">
        <f>Ticketsys!F22</f>
        <v>0.76388888888888862</v>
      </c>
      <c r="L22" s="27">
        <f t="shared" si="4"/>
        <v>0.97222222222222188</v>
      </c>
      <c r="M22">
        <f t="shared" si="7"/>
        <v>243</v>
      </c>
      <c r="N22" t="str">
        <f t="shared" si="5"/>
        <v>C243243</v>
      </c>
      <c r="O22" t="s">
        <v>1383</v>
      </c>
    </row>
    <row r="23" spans="1:15">
      <c r="A23" s="10" t="s">
        <v>25</v>
      </c>
      <c r="B23" t="s">
        <v>1384</v>
      </c>
      <c r="C23" s="25" t="str">
        <f t="shared" ref="C23:C54" si="26">CONCATENATE("Airbus","A220")</f>
        <v>AirbusA220</v>
      </c>
      <c r="D23" t="str">
        <f>IF(Ticketsys!D23=CONCATENATE("long","-","haul"," ","flights"),"YES","NO")</f>
        <v>NO</v>
      </c>
      <c r="E23">
        <f t="shared" si="0"/>
        <v>135</v>
      </c>
      <c r="F23">
        <f t="shared" si="1"/>
        <v>27</v>
      </c>
      <c r="G23">
        <f t="shared" si="2"/>
        <v>27</v>
      </c>
      <c r="H23">
        <f t="shared" si="3"/>
        <v>81</v>
      </c>
      <c r="I23" s="27">
        <f t="shared" si="6"/>
        <v>0.21874999999999992</v>
      </c>
      <c r="J23" t="s">
        <v>1614</v>
      </c>
      <c r="K23" s="28">
        <f>Ticketsys!F23</f>
        <v>0.80208333333333304</v>
      </c>
      <c r="L23" s="27">
        <f t="shared" si="4"/>
        <v>1.020833333333333</v>
      </c>
      <c r="M23">
        <f t="shared" si="7"/>
        <v>249</v>
      </c>
      <c r="N23" t="str">
        <f t="shared" si="5"/>
        <v>D249249</v>
      </c>
      <c r="O23" t="s">
        <v>1384</v>
      </c>
    </row>
    <row r="24" spans="1:15">
      <c r="A24" s="10" t="s">
        <v>26</v>
      </c>
      <c r="B24" t="s">
        <v>1385</v>
      </c>
      <c r="C24" s="25" t="str">
        <f t="shared" ref="C24:C55" si="27">CONCATENATE("Airbus","A320")</f>
        <v>AirbusA320</v>
      </c>
      <c r="D24" t="str">
        <f>IF(Ticketsys!D24=CONCATENATE("long","-","haul"," ","flights"),"YES","NO")</f>
        <v>NO</v>
      </c>
      <c r="E24">
        <f t="shared" si="0"/>
        <v>150</v>
      </c>
      <c r="F24">
        <f t="shared" si="1"/>
        <v>30</v>
      </c>
      <c r="G24">
        <f t="shared" si="2"/>
        <v>30</v>
      </c>
      <c r="H24">
        <f t="shared" si="3"/>
        <v>90</v>
      </c>
      <c r="I24" s="27">
        <f t="shared" si="6"/>
        <v>0.22916666666666657</v>
      </c>
      <c r="J24" t="s">
        <v>1614</v>
      </c>
      <c r="K24" s="28">
        <f>Ticketsys!F24</f>
        <v>0.84027777777777746</v>
      </c>
      <c r="L24" s="27">
        <f t="shared" si="4"/>
        <v>1.069444444444444</v>
      </c>
      <c r="M24">
        <f t="shared" si="7"/>
        <v>255</v>
      </c>
      <c r="N24" t="str">
        <f t="shared" si="5"/>
        <v>E255255</v>
      </c>
      <c r="O24" t="s">
        <v>1385</v>
      </c>
    </row>
    <row r="25" spans="1:15">
      <c r="A25" s="10" t="s">
        <v>27</v>
      </c>
      <c r="B25" t="s">
        <v>1386</v>
      </c>
      <c r="C25" s="25" t="str">
        <f t="shared" ref="C25:C56" si="28">CONCATENATE("Airbus","A350")</f>
        <v>AirbusA350</v>
      </c>
      <c r="D25" t="str">
        <f>IF(Ticketsys!D25=CONCATENATE("long","-","haul"," ","flights"),"YES","NO")</f>
        <v>NO</v>
      </c>
      <c r="E25">
        <f t="shared" si="0"/>
        <v>325</v>
      </c>
      <c r="F25">
        <f t="shared" si="1"/>
        <v>65</v>
      </c>
      <c r="G25">
        <f t="shared" si="2"/>
        <v>65</v>
      </c>
      <c r="H25">
        <f t="shared" si="3"/>
        <v>195</v>
      </c>
      <c r="I25" s="27">
        <f t="shared" si="6"/>
        <v>0.23958333333333323</v>
      </c>
      <c r="J25" t="s">
        <v>1614</v>
      </c>
      <c r="K25" s="28">
        <f>Ticketsys!F25</f>
        <v>0.87847222222222188</v>
      </c>
      <c r="L25" s="27">
        <f t="shared" si="4"/>
        <v>1.1180555555555551</v>
      </c>
      <c r="M25">
        <f t="shared" si="7"/>
        <v>261</v>
      </c>
      <c r="N25" t="str">
        <f t="shared" si="5"/>
        <v>C261261</v>
      </c>
      <c r="O25" t="s">
        <v>1386</v>
      </c>
    </row>
    <row r="26" spans="1:15">
      <c r="A26" s="10" t="s">
        <v>28</v>
      </c>
      <c r="B26" t="s">
        <v>1387</v>
      </c>
      <c r="C26" s="25" t="str">
        <f t="shared" ref="C26:C57" si="29">CONCATENATE("Airbus","A220")</f>
        <v>AirbusA220</v>
      </c>
      <c r="D26" t="str">
        <f>IF(Ticketsys!D26=CONCATENATE("long","-","haul"," ","flights"),"YES","NO")</f>
        <v>NO</v>
      </c>
      <c r="E26">
        <f t="shared" si="0"/>
        <v>135</v>
      </c>
      <c r="F26">
        <f t="shared" si="1"/>
        <v>27</v>
      </c>
      <c r="G26">
        <f t="shared" si="2"/>
        <v>27</v>
      </c>
      <c r="H26">
        <f t="shared" si="3"/>
        <v>81</v>
      </c>
      <c r="I26" s="27">
        <f t="shared" si="6"/>
        <v>0.24999999999999989</v>
      </c>
      <c r="J26" t="s">
        <v>1614</v>
      </c>
      <c r="K26" s="28">
        <f>Ticketsys!F26</f>
        <v>0.9166666666666663</v>
      </c>
      <c r="L26" s="27">
        <f t="shared" si="4"/>
        <v>1.1666666666666661</v>
      </c>
      <c r="M26">
        <f t="shared" si="7"/>
        <v>267</v>
      </c>
      <c r="N26" t="str">
        <f t="shared" si="5"/>
        <v>A267267</v>
      </c>
      <c r="O26" t="s">
        <v>1387</v>
      </c>
    </row>
    <row r="27" spans="1:15">
      <c r="A27" s="10" t="s">
        <v>29</v>
      </c>
      <c r="B27" t="s">
        <v>1388</v>
      </c>
      <c r="C27" s="25" t="str">
        <f t="shared" ref="C27:C58" si="30">CONCATENATE("Airbus","A320")</f>
        <v>AirbusA320</v>
      </c>
      <c r="D27" t="str">
        <f>IF(Ticketsys!D27=CONCATENATE("long","-","haul"," ","flights"),"YES","NO")</f>
        <v>NO</v>
      </c>
      <c r="E27">
        <f t="shared" si="0"/>
        <v>150</v>
      </c>
      <c r="F27">
        <f t="shared" si="1"/>
        <v>30</v>
      </c>
      <c r="G27">
        <f t="shared" si="2"/>
        <v>30</v>
      </c>
      <c r="H27">
        <f t="shared" si="3"/>
        <v>90</v>
      </c>
      <c r="I27" s="27">
        <f t="shared" si="6"/>
        <v>0.26041666666666657</v>
      </c>
      <c r="J27" t="s">
        <v>1612</v>
      </c>
      <c r="K27" s="28">
        <f>Ticketsys!F27</f>
        <v>0.95486111111111072</v>
      </c>
      <c r="L27" s="27">
        <f t="shared" si="4"/>
        <v>1.2152777777777772</v>
      </c>
      <c r="M27">
        <f t="shared" si="7"/>
        <v>273</v>
      </c>
      <c r="N27" t="str">
        <f t="shared" si="5"/>
        <v>B273273</v>
      </c>
      <c r="O27" t="s">
        <v>1388</v>
      </c>
    </row>
    <row r="28" spans="1:15">
      <c r="A28" s="10" t="s">
        <v>30</v>
      </c>
      <c r="B28" t="s">
        <v>1389</v>
      </c>
      <c r="C28" s="25" t="str">
        <f t="shared" ref="C28:C59" si="31">CONCATENATE("Airbus","A350")</f>
        <v>AirbusA350</v>
      </c>
      <c r="D28" t="str">
        <f>IF(Ticketsys!D28=CONCATENATE("long","-","haul"," ","flights"),"YES","NO")</f>
        <v>NO</v>
      </c>
      <c r="E28">
        <f t="shared" si="0"/>
        <v>325</v>
      </c>
      <c r="F28">
        <f t="shared" si="1"/>
        <v>65</v>
      </c>
      <c r="G28">
        <f t="shared" si="2"/>
        <v>65</v>
      </c>
      <c r="H28">
        <f t="shared" si="3"/>
        <v>195</v>
      </c>
      <c r="I28" s="27">
        <f t="shared" si="6"/>
        <v>0.27083333333333326</v>
      </c>
      <c r="J28" t="s">
        <v>1614</v>
      </c>
      <c r="K28" s="28">
        <f>Ticketsys!F28</f>
        <v>0.99305555555555514</v>
      </c>
      <c r="L28" s="27">
        <f t="shared" si="4"/>
        <v>1.2638888888888884</v>
      </c>
      <c r="M28">
        <f t="shared" si="7"/>
        <v>279</v>
      </c>
      <c r="N28" t="str">
        <f t="shared" si="5"/>
        <v>C279279</v>
      </c>
      <c r="O28" t="s">
        <v>1389</v>
      </c>
    </row>
    <row r="29" spans="1:15">
      <c r="A29" s="10" t="s">
        <v>31</v>
      </c>
      <c r="B29" t="s">
        <v>1390</v>
      </c>
      <c r="C29" s="25" t="str">
        <f t="shared" ref="C29:C60" si="32">CONCATENATE("Airbus","A220")</f>
        <v>AirbusA220</v>
      </c>
      <c r="D29" t="str">
        <f>IF(Ticketsys!D29=CONCATENATE("long","-","haul"," ","flights"),"YES","NO")</f>
        <v>NO</v>
      </c>
      <c r="E29">
        <f t="shared" si="0"/>
        <v>135</v>
      </c>
      <c r="F29">
        <f t="shared" si="1"/>
        <v>27</v>
      </c>
      <c r="G29">
        <f t="shared" si="2"/>
        <v>27</v>
      </c>
      <c r="H29">
        <f t="shared" si="3"/>
        <v>81</v>
      </c>
      <c r="I29" s="27">
        <f t="shared" si="6"/>
        <v>0.28124999999999994</v>
      </c>
      <c r="J29" t="s">
        <v>1612</v>
      </c>
      <c r="K29" s="28">
        <f>Ticketsys!F29</f>
        <v>1.0312499999999996</v>
      </c>
      <c r="L29" s="27">
        <f t="shared" si="4"/>
        <v>1.3124999999999996</v>
      </c>
      <c r="M29">
        <f t="shared" si="7"/>
        <v>285</v>
      </c>
      <c r="N29" t="str">
        <f t="shared" si="5"/>
        <v>A285285</v>
      </c>
      <c r="O29" t="s">
        <v>1390</v>
      </c>
    </row>
    <row r="30" spans="1:15">
      <c r="A30" s="10" t="s">
        <v>32</v>
      </c>
      <c r="B30" t="s">
        <v>1391</v>
      </c>
      <c r="C30" s="25" t="str">
        <f t="shared" ref="C30:C61" si="33">CONCATENATE("Airbus","A320")</f>
        <v>AirbusA320</v>
      </c>
      <c r="D30" t="str">
        <f>IF(Ticketsys!D30=CONCATENATE("long","-","haul"," ","flights"),"YES","NO")</f>
        <v>NO</v>
      </c>
      <c r="E30">
        <f t="shared" si="0"/>
        <v>150</v>
      </c>
      <c r="F30">
        <f t="shared" si="1"/>
        <v>30</v>
      </c>
      <c r="G30">
        <f t="shared" si="2"/>
        <v>30</v>
      </c>
      <c r="H30">
        <f t="shared" si="3"/>
        <v>90</v>
      </c>
      <c r="I30" s="27">
        <f t="shared" si="6"/>
        <v>0.29166666666666663</v>
      </c>
      <c r="J30" t="s">
        <v>1612</v>
      </c>
      <c r="K30" s="28">
        <f>Ticketsys!F30</f>
        <v>1.069444444444444</v>
      </c>
      <c r="L30" s="27">
        <f t="shared" si="4"/>
        <v>1.3611111111111107</v>
      </c>
      <c r="M30">
        <f t="shared" si="7"/>
        <v>291</v>
      </c>
      <c r="N30" t="str">
        <f t="shared" si="5"/>
        <v>B291291</v>
      </c>
      <c r="O30" t="s">
        <v>1391</v>
      </c>
    </row>
    <row r="31" spans="1:15">
      <c r="A31" s="10" t="s">
        <v>33</v>
      </c>
      <c r="B31" t="s">
        <v>1392</v>
      </c>
      <c r="C31" s="25" t="str">
        <f t="shared" ref="C31:C62" si="34">CONCATENATE("Airbus","A350")</f>
        <v>AirbusA350</v>
      </c>
      <c r="D31" t="str">
        <f>IF(Ticketsys!D31=CONCATENATE("long","-","haul"," ","flights"),"YES","NO")</f>
        <v>NO</v>
      </c>
      <c r="E31">
        <f t="shared" si="0"/>
        <v>325</v>
      </c>
      <c r="F31">
        <f t="shared" si="1"/>
        <v>65</v>
      </c>
      <c r="G31">
        <f t="shared" si="2"/>
        <v>65</v>
      </c>
      <c r="H31">
        <f t="shared" si="3"/>
        <v>195</v>
      </c>
      <c r="I31" s="27">
        <f t="shared" si="6"/>
        <v>0.30208333333333331</v>
      </c>
      <c r="J31" t="s">
        <v>1614</v>
      </c>
      <c r="K31" s="28">
        <f>Ticketsys!F31</f>
        <v>1.1076388888888884</v>
      </c>
      <c r="L31" s="27">
        <f t="shared" si="4"/>
        <v>1.4097222222222217</v>
      </c>
      <c r="M31">
        <f t="shared" si="7"/>
        <v>297</v>
      </c>
      <c r="N31" t="str">
        <f t="shared" si="5"/>
        <v>C297297</v>
      </c>
      <c r="O31" t="s">
        <v>1392</v>
      </c>
    </row>
    <row r="32" spans="1:15">
      <c r="A32" s="10" t="s">
        <v>24</v>
      </c>
      <c r="B32" t="s">
        <v>1393</v>
      </c>
      <c r="C32" s="25" t="str">
        <f t="shared" ref="C32:C63" si="35">CONCATENATE("Airbus","A220")</f>
        <v>AirbusA220</v>
      </c>
      <c r="D32" t="str">
        <f>IF(Ticketsys!D32=CONCATENATE("long","-","haul"," ","flights"),"YES","NO")</f>
        <v>NO</v>
      </c>
      <c r="E32">
        <f t="shared" si="0"/>
        <v>135</v>
      </c>
      <c r="F32">
        <f t="shared" si="1"/>
        <v>27</v>
      </c>
      <c r="G32">
        <f t="shared" si="2"/>
        <v>27</v>
      </c>
      <c r="H32">
        <f t="shared" si="3"/>
        <v>81</v>
      </c>
      <c r="I32" s="27">
        <f t="shared" si="6"/>
        <v>0.3125</v>
      </c>
      <c r="J32" t="s">
        <v>1614</v>
      </c>
      <c r="K32" s="28">
        <f>Ticketsys!F32</f>
        <v>1.1458333333333328</v>
      </c>
      <c r="L32" s="27">
        <f t="shared" si="4"/>
        <v>1.4583333333333328</v>
      </c>
      <c r="M32">
        <f t="shared" si="7"/>
        <v>303</v>
      </c>
      <c r="N32" t="str">
        <f t="shared" si="5"/>
        <v>D303303</v>
      </c>
      <c r="O32" t="s">
        <v>1393</v>
      </c>
    </row>
    <row r="33" spans="1:15">
      <c r="A33" s="10" t="s">
        <v>25</v>
      </c>
      <c r="B33" t="s">
        <v>1394</v>
      </c>
      <c r="C33" s="25" t="str">
        <f t="shared" ref="C33:C64" si="36">CONCATENATE("Airbus","A320")</f>
        <v>AirbusA320</v>
      </c>
      <c r="D33" t="str">
        <f>IF(Ticketsys!D33=CONCATENATE("long","-","haul"," ","flights"),"YES","NO")</f>
        <v>NO</v>
      </c>
      <c r="E33">
        <f t="shared" si="0"/>
        <v>150</v>
      </c>
      <c r="F33">
        <f t="shared" si="1"/>
        <v>30</v>
      </c>
      <c r="G33">
        <f t="shared" si="2"/>
        <v>30</v>
      </c>
      <c r="H33">
        <f t="shared" si="3"/>
        <v>90</v>
      </c>
      <c r="I33" s="27">
        <f t="shared" si="6"/>
        <v>0.32291666666666669</v>
      </c>
      <c r="J33" t="s">
        <v>1614</v>
      </c>
      <c r="K33" s="28">
        <f>Ticketsys!F33</f>
        <v>1.1840277777777772</v>
      </c>
      <c r="L33" s="27">
        <f t="shared" si="4"/>
        <v>1.506944444444444</v>
      </c>
      <c r="M33">
        <f t="shared" si="7"/>
        <v>309</v>
      </c>
      <c r="N33" t="str">
        <f t="shared" si="5"/>
        <v>E309309</v>
      </c>
      <c r="O33" t="s">
        <v>1394</v>
      </c>
    </row>
    <row r="34" spans="1:15">
      <c r="A34" s="10" t="s">
        <v>26</v>
      </c>
      <c r="B34" t="s">
        <v>1395</v>
      </c>
      <c r="C34" s="25" t="str">
        <f t="shared" ref="C34:C65" si="37">CONCATENATE("Airbus","A350")</f>
        <v>AirbusA350</v>
      </c>
      <c r="D34" t="str">
        <f>IF(Ticketsys!D34=CONCATENATE("long","-","haul"," ","flights"),"YES","NO")</f>
        <v>NO</v>
      </c>
      <c r="E34">
        <f t="shared" si="0"/>
        <v>325</v>
      </c>
      <c r="F34">
        <f t="shared" si="1"/>
        <v>65</v>
      </c>
      <c r="G34">
        <f t="shared" si="2"/>
        <v>65</v>
      </c>
      <c r="H34">
        <f t="shared" si="3"/>
        <v>195</v>
      </c>
      <c r="I34" s="27">
        <f t="shared" si="6"/>
        <v>0.33333333333333337</v>
      </c>
      <c r="J34" t="s">
        <v>1613</v>
      </c>
      <c r="K34" s="28">
        <f>Ticketsys!F34</f>
        <v>1.2222222222222217</v>
      </c>
      <c r="L34" s="27">
        <f t="shared" si="4"/>
        <v>1.5555555555555549</v>
      </c>
      <c r="M34">
        <f t="shared" si="7"/>
        <v>315</v>
      </c>
      <c r="N34" t="str">
        <f t="shared" si="5"/>
        <v>C315315</v>
      </c>
      <c r="O34" t="s">
        <v>1395</v>
      </c>
    </row>
    <row r="35" spans="1:15">
      <c r="A35" s="10" t="s">
        <v>27</v>
      </c>
      <c r="B35" t="s">
        <v>1396</v>
      </c>
      <c r="C35" s="25" t="str">
        <f t="shared" ref="C35:C66" si="38">CONCATENATE("Airbus","A220")</f>
        <v>AirbusA220</v>
      </c>
      <c r="D35" t="str">
        <f>IF(Ticketsys!D35=CONCATENATE("long","-","haul"," ","flights"),"YES","NO")</f>
        <v>NO</v>
      </c>
      <c r="E35">
        <f t="shared" si="0"/>
        <v>135</v>
      </c>
      <c r="F35">
        <f t="shared" si="1"/>
        <v>27</v>
      </c>
      <c r="G35">
        <f t="shared" si="2"/>
        <v>27</v>
      </c>
      <c r="H35">
        <f t="shared" si="3"/>
        <v>81</v>
      </c>
      <c r="I35" s="27">
        <f t="shared" si="6"/>
        <v>0.34375000000000006</v>
      </c>
      <c r="J35" t="s">
        <v>1612</v>
      </c>
      <c r="K35" s="28">
        <f>Ticketsys!F35</f>
        <v>1.2604166666666661</v>
      </c>
      <c r="L35" s="27">
        <f t="shared" si="4"/>
        <v>1.6041666666666661</v>
      </c>
      <c r="M35">
        <f t="shared" si="7"/>
        <v>321</v>
      </c>
      <c r="N35" t="str">
        <f t="shared" si="5"/>
        <v>A321321</v>
      </c>
      <c r="O35" t="s">
        <v>1396</v>
      </c>
    </row>
    <row r="36" spans="1:15">
      <c r="A36" s="10" t="s">
        <v>28</v>
      </c>
      <c r="B36" t="s">
        <v>1397</v>
      </c>
      <c r="C36" s="25" t="str">
        <f t="shared" ref="C36:C67" si="39">CONCATENATE("Airbus","A320")</f>
        <v>AirbusA320</v>
      </c>
      <c r="D36" t="str">
        <f>IF(Ticketsys!D36=CONCATENATE("long","-","haul"," ","flights"),"YES","NO")</f>
        <v>NO</v>
      </c>
      <c r="E36">
        <f t="shared" si="0"/>
        <v>150</v>
      </c>
      <c r="F36">
        <f t="shared" si="1"/>
        <v>30</v>
      </c>
      <c r="G36">
        <f t="shared" si="2"/>
        <v>30</v>
      </c>
      <c r="H36">
        <f t="shared" si="3"/>
        <v>90</v>
      </c>
      <c r="I36" s="27">
        <f t="shared" si="6"/>
        <v>0.35416666666666674</v>
      </c>
      <c r="J36" t="s">
        <v>1613</v>
      </c>
      <c r="K36" s="28">
        <f>Ticketsys!F36</f>
        <v>1.2986111111111105</v>
      </c>
      <c r="L36" s="27">
        <f t="shared" si="4"/>
        <v>1.6527777777777772</v>
      </c>
      <c r="M36">
        <f t="shared" si="7"/>
        <v>327</v>
      </c>
      <c r="N36" t="str">
        <f t="shared" si="5"/>
        <v>B327327</v>
      </c>
      <c r="O36" t="s">
        <v>1397</v>
      </c>
    </row>
    <row r="37" spans="1:15">
      <c r="A37" s="10" t="s">
        <v>29</v>
      </c>
      <c r="B37" t="s">
        <v>1398</v>
      </c>
      <c r="C37" s="25" t="str">
        <f t="shared" ref="C37:C68" si="40">CONCATENATE("Airbus","A350")</f>
        <v>AirbusA350</v>
      </c>
      <c r="D37" t="str">
        <f>IF(Ticketsys!D37=CONCATENATE("long","-","haul"," ","flights"),"YES","NO")</f>
        <v>NO</v>
      </c>
      <c r="E37">
        <f t="shared" si="0"/>
        <v>325</v>
      </c>
      <c r="F37">
        <f t="shared" si="1"/>
        <v>65</v>
      </c>
      <c r="G37">
        <f t="shared" si="2"/>
        <v>65</v>
      </c>
      <c r="H37">
        <f t="shared" si="3"/>
        <v>195</v>
      </c>
      <c r="I37" s="27">
        <f t="shared" si="6"/>
        <v>0.36458333333333343</v>
      </c>
      <c r="J37" t="s">
        <v>1612</v>
      </c>
      <c r="K37" s="28">
        <f>Ticketsys!F37</f>
        <v>1.3368055555555549</v>
      </c>
      <c r="L37" s="27">
        <f t="shared" si="4"/>
        <v>1.7013888888888884</v>
      </c>
      <c r="M37">
        <f t="shared" si="7"/>
        <v>333</v>
      </c>
      <c r="N37" t="str">
        <f t="shared" si="5"/>
        <v>C333333</v>
      </c>
      <c r="O37" t="s">
        <v>1398</v>
      </c>
    </row>
    <row r="38" spans="1:15">
      <c r="A38" s="10" t="s">
        <v>30</v>
      </c>
      <c r="B38" t="s">
        <v>1399</v>
      </c>
      <c r="C38" s="25" t="str">
        <f t="shared" ref="C38:C69" si="41">CONCATENATE("Airbus","A220")</f>
        <v>AirbusA220</v>
      </c>
      <c r="D38" t="str">
        <f>IF(Ticketsys!D38=CONCATENATE("long","-","haul"," ","flights"),"YES","NO")</f>
        <v>NO</v>
      </c>
      <c r="E38">
        <f t="shared" si="0"/>
        <v>135</v>
      </c>
      <c r="F38">
        <f t="shared" si="1"/>
        <v>27</v>
      </c>
      <c r="G38">
        <f t="shared" si="2"/>
        <v>27</v>
      </c>
      <c r="H38">
        <f t="shared" si="3"/>
        <v>81</v>
      </c>
      <c r="I38" s="27">
        <f t="shared" si="6"/>
        <v>0.37500000000000011</v>
      </c>
      <c r="J38" t="s">
        <v>1614</v>
      </c>
      <c r="K38" s="28">
        <f>Ticketsys!F38</f>
        <v>1.3749999999999993</v>
      </c>
      <c r="L38" s="27">
        <f t="shared" si="4"/>
        <v>1.7499999999999996</v>
      </c>
      <c r="M38">
        <f t="shared" si="7"/>
        <v>339</v>
      </c>
      <c r="N38" t="str">
        <f t="shared" si="5"/>
        <v>A339339</v>
      </c>
      <c r="O38" t="s">
        <v>1399</v>
      </c>
    </row>
    <row r="39" spans="1:15">
      <c r="A39" s="10" t="s">
        <v>31</v>
      </c>
      <c r="B39" t="s">
        <v>1400</v>
      </c>
      <c r="C39" s="25" t="str">
        <f t="shared" ref="C39:C70" si="42">CONCATENATE("Airbus","A320")</f>
        <v>AirbusA320</v>
      </c>
      <c r="D39" t="str">
        <f>IF(Ticketsys!D39=CONCATENATE("long","-","haul"," ","flights"),"YES","NO")</f>
        <v>NO</v>
      </c>
      <c r="E39">
        <f t="shared" si="0"/>
        <v>150</v>
      </c>
      <c r="F39">
        <f t="shared" si="1"/>
        <v>30</v>
      </c>
      <c r="G39">
        <f t="shared" si="2"/>
        <v>30</v>
      </c>
      <c r="H39">
        <f t="shared" si="3"/>
        <v>90</v>
      </c>
      <c r="I39" s="27">
        <f t="shared" si="6"/>
        <v>0.3854166666666668</v>
      </c>
      <c r="J39" t="s">
        <v>1614</v>
      </c>
      <c r="K39" s="28">
        <f>Ticketsys!F39</f>
        <v>1.4131944444444438</v>
      </c>
      <c r="L39" s="27">
        <f t="shared" si="4"/>
        <v>1.7986111111111105</v>
      </c>
      <c r="M39">
        <f t="shared" si="7"/>
        <v>345</v>
      </c>
      <c r="N39" t="str">
        <f t="shared" si="5"/>
        <v>B345345</v>
      </c>
      <c r="O39" t="s">
        <v>1400</v>
      </c>
    </row>
    <row r="40" spans="1:15">
      <c r="A40" s="10" t="s">
        <v>32</v>
      </c>
      <c r="B40" t="s">
        <v>1401</v>
      </c>
      <c r="C40" s="25" t="str">
        <f t="shared" ref="C40:C71" si="43">CONCATENATE("Airbus","A350")</f>
        <v>AirbusA350</v>
      </c>
      <c r="D40" t="str">
        <f>IF(Ticketsys!D40=CONCATENATE("long","-","haul"," ","flights"),"YES","NO")</f>
        <v>NO</v>
      </c>
      <c r="E40">
        <f t="shared" si="0"/>
        <v>325</v>
      </c>
      <c r="F40">
        <f t="shared" si="1"/>
        <v>65</v>
      </c>
      <c r="G40">
        <f t="shared" si="2"/>
        <v>65</v>
      </c>
      <c r="H40">
        <f t="shared" si="3"/>
        <v>195</v>
      </c>
      <c r="I40" s="27">
        <f t="shared" si="6"/>
        <v>0.39583333333333348</v>
      </c>
      <c r="J40" t="s">
        <v>1614</v>
      </c>
      <c r="K40" s="28">
        <f>Ticketsys!F40</f>
        <v>1.4513888888888882</v>
      </c>
      <c r="L40" s="27">
        <f t="shared" si="4"/>
        <v>1.8472222222222217</v>
      </c>
      <c r="M40">
        <f t="shared" si="7"/>
        <v>351</v>
      </c>
      <c r="N40" t="str">
        <f t="shared" si="5"/>
        <v>C351351</v>
      </c>
      <c r="O40" t="s">
        <v>1401</v>
      </c>
    </row>
    <row r="41" spans="1:15">
      <c r="A41" s="10" t="s">
        <v>33</v>
      </c>
      <c r="B41" t="s">
        <v>1402</v>
      </c>
      <c r="C41" s="25" t="str">
        <f t="shared" ref="C41:C72" si="44">CONCATENATE("Airbus","A220")</f>
        <v>AirbusA220</v>
      </c>
      <c r="D41" t="str">
        <f>IF(Ticketsys!D41=CONCATENATE("long","-","haul"," ","flights"),"YES","NO")</f>
        <v>NO</v>
      </c>
      <c r="E41">
        <f t="shared" si="0"/>
        <v>135</v>
      </c>
      <c r="F41">
        <f t="shared" si="1"/>
        <v>27</v>
      </c>
      <c r="G41">
        <f t="shared" si="2"/>
        <v>27</v>
      </c>
      <c r="H41">
        <f t="shared" si="3"/>
        <v>81</v>
      </c>
      <c r="I41" s="27">
        <f t="shared" si="6"/>
        <v>0.40625000000000017</v>
      </c>
      <c r="J41" t="s">
        <v>1614</v>
      </c>
      <c r="K41" s="28">
        <f>Ticketsys!F41</f>
        <v>1.4895833333333326</v>
      </c>
      <c r="L41" s="27">
        <f t="shared" si="4"/>
        <v>1.8958333333333328</v>
      </c>
      <c r="M41">
        <f t="shared" si="7"/>
        <v>357</v>
      </c>
      <c r="N41" t="str">
        <f t="shared" si="5"/>
        <v>D357357</v>
      </c>
      <c r="O41" t="s">
        <v>1402</v>
      </c>
    </row>
    <row r="42" spans="1:15">
      <c r="A42" s="10" t="s">
        <v>24</v>
      </c>
      <c r="B42" t="s">
        <v>1403</v>
      </c>
      <c r="C42" s="25" t="str">
        <f t="shared" ref="C42:C73" si="45">CONCATENATE("Airbus","A320")</f>
        <v>AirbusA320</v>
      </c>
      <c r="D42" t="str">
        <f>IF(Ticketsys!D42=CONCATENATE("long","-","haul"," ","flights"),"YES","NO")</f>
        <v>NO</v>
      </c>
      <c r="E42">
        <f t="shared" si="0"/>
        <v>150</v>
      </c>
      <c r="F42">
        <f t="shared" si="1"/>
        <v>30</v>
      </c>
      <c r="G42">
        <f t="shared" si="2"/>
        <v>30</v>
      </c>
      <c r="H42">
        <f t="shared" si="3"/>
        <v>90</v>
      </c>
      <c r="I42" s="27">
        <f t="shared" si="6"/>
        <v>0.41666666666666685</v>
      </c>
      <c r="J42" t="s">
        <v>1614</v>
      </c>
      <c r="K42" s="28">
        <f>Ticketsys!F42</f>
        <v>1.527777777777777</v>
      </c>
      <c r="L42" s="27">
        <f t="shared" si="4"/>
        <v>1.9444444444444438</v>
      </c>
      <c r="M42">
        <f t="shared" si="7"/>
        <v>363</v>
      </c>
      <c r="N42" t="str">
        <f t="shared" si="5"/>
        <v>E363363</v>
      </c>
      <c r="O42" t="s">
        <v>1403</v>
      </c>
    </row>
    <row r="43" spans="1:15">
      <c r="A43" s="10" t="s">
        <v>25</v>
      </c>
      <c r="B43" t="s">
        <v>1404</v>
      </c>
      <c r="C43" s="25" t="str">
        <f t="shared" ref="C43:C74" si="46">CONCATENATE("Airbus","A350")</f>
        <v>AirbusA350</v>
      </c>
      <c r="D43" t="str">
        <f>IF(Ticketsys!D43=CONCATENATE("long","-","haul"," ","flights"),"YES","NO")</f>
        <v>NO</v>
      </c>
      <c r="E43">
        <f t="shared" si="0"/>
        <v>325</v>
      </c>
      <c r="F43">
        <f t="shared" si="1"/>
        <v>65</v>
      </c>
      <c r="G43">
        <f t="shared" si="2"/>
        <v>65</v>
      </c>
      <c r="H43">
        <f t="shared" si="3"/>
        <v>195</v>
      </c>
      <c r="I43" s="27">
        <f t="shared" si="6"/>
        <v>0.42708333333333354</v>
      </c>
      <c r="J43" t="s">
        <v>1612</v>
      </c>
      <c r="K43" s="28">
        <f>Ticketsys!F43</f>
        <v>1.5659722222222214</v>
      </c>
      <c r="L43" s="27">
        <f t="shared" si="4"/>
        <v>1.9930555555555549</v>
      </c>
      <c r="M43">
        <f t="shared" si="7"/>
        <v>369</v>
      </c>
      <c r="N43" t="str">
        <f t="shared" si="5"/>
        <v>C369369</v>
      </c>
      <c r="O43" t="s">
        <v>1404</v>
      </c>
    </row>
    <row r="44" spans="1:15">
      <c r="A44" s="10" t="s">
        <v>26</v>
      </c>
      <c r="B44" t="s">
        <v>1405</v>
      </c>
      <c r="C44" s="25" t="str">
        <f t="shared" ref="C44:C75" si="47">CONCATENATE("Airbus","A220")</f>
        <v>AirbusA220</v>
      </c>
      <c r="D44" t="str">
        <f>IF(Ticketsys!D44=CONCATENATE("long","-","haul"," ","flights"),"YES","NO")</f>
        <v>NO</v>
      </c>
      <c r="E44">
        <f t="shared" si="0"/>
        <v>135</v>
      </c>
      <c r="F44">
        <f t="shared" si="1"/>
        <v>27</v>
      </c>
      <c r="G44">
        <f t="shared" si="2"/>
        <v>27</v>
      </c>
      <c r="H44">
        <f t="shared" si="3"/>
        <v>81</v>
      </c>
      <c r="I44" s="27">
        <f t="shared" si="6"/>
        <v>0.43750000000000022</v>
      </c>
      <c r="J44" t="s">
        <v>1614</v>
      </c>
      <c r="K44" s="28">
        <f>Ticketsys!F44</f>
        <v>1.6041666666666659</v>
      </c>
      <c r="L44" s="27">
        <f t="shared" si="4"/>
        <v>2.0416666666666661</v>
      </c>
      <c r="M44">
        <f t="shared" si="7"/>
        <v>375</v>
      </c>
      <c r="N44" t="str">
        <f t="shared" si="5"/>
        <v>A375375</v>
      </c>
      <c r="O44" t="s">
        <v>1405</v>
      </c>
    </row>
    <row r="45" spans="1:15">
      <c r="A45" s="10" t="s">
        <v>27</v>
      </c>
      <c r="B45" t="s">
        <v>1406</v>
      </c>
      <c r="C45" s="25" t="str">
        <f t="shared" ref="C45:C76" si="48">CONCATENATE("Airbus","A320")</f>
        <v>AirbusA320</v>
      </c>
      <c r="D45" t="str">
        <f>IF(Ticketsys!D45=CONCATENATE("long","-","haul"," ","flights"),"YES","NO")</f>
        <v>NO</v>
      </c>
      <c r="E45">
        <f t="shared" si="0"/>
        <v>150</v>
      </c>
      <c r="F45">
        <f t="shared" si="1"/>
        <v>30</v>
      </c>
      <c r="G45">
        <f t="shared" si="2"/>
        <v>30</v>
      </c>
      <c r="H45">
        <f t="shared" si="3"/>
        <v>90</v>
      </c>
      <c r="I45" s="27">
        <f t="shared" si="6"/>
        <v>0.44791666666666691</v>
      </c>
      <c r="J45" t="s">
        <v>1612</v>
      </c>
      <c r="K45" s="28">
        <f>Ticketsys!F45</f>
        <v>1.6423611111111103</v>
      </c>
      <c r="L45" s="27">
        <f t="shared" si="4"/>
        <v>2.0902777777777772</v>
      </c>
      <c r="M45">
        <f t="shared" si="7"/>
        <v>381</v>
      </c>
      <c r="N45" t="str">
        <f t="shared" si="5"/>
        <v>B381381</v>
      </c>
      <c r="O45" t="s">
        <v>1406</v>
      </c>
    </row>
    <row r="46" spans="1:15">
      <c r="A46" s="10" t="s">
        <v>28</v>
      </c>
      <c r="B46" t="s">
        <v>1407</v>
      </c>
      <c r="C46" s="25" t="str">
        <f t="shared" ref="C46:C77" si="49">CONCATENATE("Airbus","A350")</f>
        <v>AirbusA350</v>
      </c>
      <c r="D46" t="str">
        <f>IF(Ticketsys!D46=CONCATENATE("long","-","haul"," ","flights"),"YES","NO")</f>
        <v>NO</v>
      </c>
      <c r="E46">
        <f t="shared" si="0"/>
        <v>325</v>
      </c>
      <c r="F46">
        <f t="shared" si="1"/>
        <v>65</v>
      </c>
      <c r="G46">
        <f t="shared" si="2"/>
        <v>65</v>
      </c>
      <c r="H46">
        <f t="shared" si="3"/>
        <v>195</v>
      </c>
      <c r="I46" s="27">
        <f t="shared" si="6"/>
        <v>0.45833333333333359</v>
      </c>
      <c r="J46" t="s">
        <v>1612</v>
      </c>
      <c r="K46" s="28">
        <f>Ticketsys!F46</f>
        <v>1.6805555555555547</v>
      </c>
      <c r="L46" s="27">
        <f t="shared" si="4"/>
        <v>2.1388888888888884</v>
      </c>
      <c r="M46">
        <f t="shared" si="7"/>
        <v>387</v>
      </c>
      <c r="N46" t="str">
        <f t="shared" si="5"/>
        <v>C387387</v>
      </c>
      <c r="O46" t="s">
        <v>1407</v>
      </c>
    </row>
    <row r="47" spans="1:15">
      <c r="A47" s="10" t="s">
        <v>29</v>
      </c>
      <c r="B47" t="s">
        <v>1408</v>
      </c>
      <c r="C47" s="25" t="str">
        <f t="shared" ref="C47:C78" si="50">CONCATENATE("Airbus","A220")</f>
        <v>AirbusA220</v>
      </c>
      <c r="D47" t="str">
        <f>IF(Ticketsys!D47=CONCATENATE("long","-","haul"," ","flights"),"YES","NO")</f>
        <v>NO</v>
      </c>
      <c r="E47">
        <f t="shared" si="0"/>
        <v>135</v>
      </c>
      <c r="F47">
        <f t="shared" si="1"/>
        <v>27</v>
      </c>
      <c r="G47">
        <f t="shared" si="2"/>
        <v>27</v>
      </c>
      <c r="H47">
        <f t="shared" si="3"/>
        <v>81</v>
      </c>
      <c r="I47" s="27">
        <f t="shared" si="6"/>
        <v>0.46875000000000028</v>
      </c>
      <c r="J47" t="s">
        <v>1614</v>
      </c>
      <c r="K47" s="28">
        <f>Ticketsys!F47</f>
        <v>1.7187499999999991</v>
      </c>
      <c r="L47" s="27">
        <f t="shared" si="4"/>
        <v>2.1874999999999996</v>
      </c>
      <c r="M47">
        <f t="shared" si="7"/>
        <v>393</v>
      </c>
      <c r="N47" t="str">
        <f t="shared" si="5"/>
        <v>A393393</v>
      </c>
      <c r="O47" t="s">
        <v>1408</v>
      </c>
    </row>
    <row r="48" spans="1:15">
      <c r="A48" s="10" t="s">
        <v>30</v>
      </c>
      <c r="B48" t="s">
        <v>1409</v>
      </c>
      <c r="C48" s="25" t="str">
        <f t="shared" ref="C48:C79" si="51">CONCATENATE("Airbus","A320")</f>
        <v>AirbusA320</v>
      </c>
      <c r="D48" t="str">
        <f>IF(Ticketsys!D48=CONCATENATE("long","-","haul"," ","flights"),"YES","NO")</f>
        <v>NO</v>
      </c>
      <c r="E48">
        <f t="shared" si="0"/>
        <v>150</v>
      </c>
      <c r="F48">
        <f t="shared" si="1"/>
        <v>30</v>
      </c>
      <c r="G48">
        <f t="shared" si="2"/>
        <v>30</v>
      </c>
      <c r="H48">
        <f t="shared" si="3"/>
        <v>90</v>
      </c>
      <c r="I48" s="27">
        <f t="shared" si="6"/>
        <v>0.47916666666666696</v>
      </c>
      <c r="J48" t="s">
        <v>1614</v>
      </c>
      <c r="K48" s="28">
        <f>Ticketsys!F48</f>
        <v>1.7569444444444435</v>
      </c>
      <c r="L48" s="27">
        <f t="shared" si="4"/>
        <v>2.2361111111111107</v>
      </c>
      <c r="M48">
        <f t="shared" si="7"/>
        <v>399</v>
      </c>
      <c r="N48" t="str">
        <f t="shared" si="5"/>
        <v>B399399</v>
      </c>
      <c r="O48" t="s">
        <v>1409</v>
      </c>
    </row>
    <row r="49" spans="1:15">
      <c r="A49" s="10" t="s">
        <v>31</v>
      </c>
      <c r="B49" t="s">
        <v>1410</v>
      </c>
      <c r="C49" s="25" t="str">
        <f t="shared" ref="C49:C80" si="52">CONCATENATE("Airbus","A350")</f>
        <v>AirbusA350</v>
      </c>
      <c r="D49" t="str">
        <f>IF(Ticketsys!D49=CONCATENATE("long","-","haul"," ","flights"),"YES","NO")</f>
        <v>NO</v>
      </c>
      <c r="E49">
        <f t="shared" si="0"/>
        <v>325</v>
      </c>
      <c r="F49">
        <f t="shared" si="1"/>
        <v>65</v>
      </c>
      <c r="G49">
        <f t="shared" si="2"/>
        <v>65</v>
      </c>
      <c r="H49">
        <f t="shared" si="3"/>
        <v>195</v>
      </c>
      <c r="I49" s="27">
        <f t="shared" si="6"/>
        <v>0.48958333333333365</v>
      </c>
      <c r="J49" t="s">
        <v>1614</v>
      </c>
      <c r="K49" s="28">
        <f>Ticketsys!F49</f>
        <v>1.795138888888888</v>
      </c>
      <c r="L49" s="27">
        <f t="shared" si="4"/>
        <v>2.2847222222222214</v>
      </c>
      <c r="M49">
        <f t="shared" si="7"/>
        <v>405</v>
      </c>
      <c r="N49" t="str">
        <f t="shared" si="5"/>
        <v>C405405</v>
      </c>
      <c r="O49" t="s">
        <v>1410</v>
      </c>
    </row>
    <row r="50" spans="1:15">
      <c r="A50" s="10" t="s">
        <v>32</v>
      </c>
      <c r="B50" t="s">
        <v>1411</v>
      </c>
      <c r="C50" s="25" t="str">
        <f t="shared" ref="C50:C81" si="53">CONCATENATE("Airbus","A220")</f>
        <v>AirbusA220</v>
      </c>
      <c r="D50" t="str">
        <f>IF(Ticketsys!D50=CONCATENATE("long","-","haul"," ","flights"),"YES","NO")</f>
        <v>NO</v>
      </c>
      <c r="E50">
        <f t="shared" si="0"/>
        <v>135</v>
      </c>
      <c r="F50">
        <f t="shared" si="1"/>
        <v>27</v>
      </c>
      <c r="G50">
        <f t="shared" si="2"/>
        <v>27</v>
      </c>
      <c r="H50">
        <f t="shared" si="3"/>
        <v>81</v>
      </c>
      <c r="I50" s="27">
        <f t="shared" si="6"/>
        <v>0.50000000000000033</v>
      </c>
      <c r="J50" t="s">
        <v>2759</v>
      </c>
      <c r="K50" s="28">
        <f>Ticketsys!F50</f>
        <v>1.8333333333333324</v>
      </c>
      <c r="L50" s="27">
        <f t="shared" si="4"/>
        <v>2.3333333333333326</v>
      </c>
      <c r="M50">
        <f t="shared" si="7"/>
        <v>411</v>
      </c>
      <c r="N50" t="str">
        <f t="shared" si="5"/>
        <v>D411411</v>
      </c>
      <c r="O50" t="s">
        <v>1411</v>
      </c>
    </row>
    <row r="51" spans="1:15">
      <c r="A51" s="10" t="s">
        <v>33</v>
      </c>
      <c r="B51" t="s">
        <v>1412</v>
      </c>
      <c r="C51" s="25" t="str">
        <f t="shared" ref="C51:C82" si="54">CONCATENATE("Airbus","A320")</f>
        <v>AirbusA320</v>
      </c>
      <c r="D51" t="str">
        <f>IF(Ticketsys!D51=CONCATENATE("long","-","haul"," ","flights"),"YES","NO")</f>
        <v>NO</v>
      </c>
      <c r="E51">
        <f t="shared" si="0"/>
        <v>150</v>
      </c>
      <c r="F51">
        <f t="shared" si="1"/>
        <v>30</v>
      </c>
      <c r="G51">
        <f t="shared" si="2"/>
        <v>30</v>
      </c>
      <c r="H51">
        <f t="shared" si="3"/>
        <v>90</v>
      </c>
      <c r="I51" s="27">
        <f t="shared" si="6"/>
        <v>0.51041666666666696</v>
      </c>
      <c r="J51" t="s">
        <v>1612</v>
      </c>
      <c r="K51" s="28">
        <f>Ticketsys!F51</f>
        <v>1.8715277777777768</v>
      </c>
      <c r="L51" s="27">
        <f t="shared" si="4"/>
        <v>2.3819444444444438</v>
      </c>
      <c r="M51">
        <f t="shared" si="7"/>
        <v>417</v>
      </c>
      <c r="N51" t="str">
        <f t="shared" si="5"/>
        <v>E417417</v>
      </c>
      <c r="O51" t="s">
        <v>1412</v>
      </c>
    </row>
    <row r="52" spans="1:15">
      <c r="A52" s="10" t="s">
        <v>24</v>
      </c>
      <c r="B52" t="s">
        <v>1413</v>
      </c>
      <c r="C52" s="25" t="str">
        <f t="shared" ref="C52:C83" si="55">CONCATENATE("Airbus","A350")</f>
        <v>AirbusA350</v>
      </c>
      <c r="D52" t="str">
        <f>IF(Ticketsys!D52=CONCATENATE("long","-","haul"," ","flights"),"YES","NO")</f>
        <v>NO</v>
      </c>
      <c r="E52">
        <f t="shared" si="0"/>
        <v>325</v>
      </c>
      <c r="F52">
        <f t="shared" si="1"/>
        <v>65</v>
      </c>
      <c r="G52">
        <f t="shared" si="2"/>
        <v>65</v>
      </c>
      <c r="H52">
        <f t="shared" si="3"/>
        <v>195</v>
      </c>
      <c r="I52" s="27">
        <f t="shared" si="6"/>
        <v>0.52083333333333359</v>
      </c>
      <c r="J52" t="s">
        <v>1613</v>
      </c>
      <c r="K52" s="28">
        <f>Ticketsys!F52</f>
        <v>1.9097222222222212</v>
      </c>
      <c r="L52" s="27">
        <f t="shared" si="4"/>
        <v>2.4305555555555549</v>
      </c>
      <c r="M52">
        <f t="shared" si="7"/>
        <v>423</v>
      </c>
      <c r="N52" t="str">
        <f t="shared" si="5"/>
        <v>C423423</v>
      </c>
      <c r="O52" t="s">
        <v>1413</v>
      </c>
    </row>
    <row r="53" spans="1:15">
      <c r="A53" s="10" t="s">
        <v>25</v>
      </c>
      <c r="B53" t="s">
        <v>1414</v>
      </c>
      <c r="C53" s="25" t="str">
        <f t="shared" ref="C53:C84" si="56">CONCATENATE("Airbus","A220")</f>
        <v>AirbusA220</v>
      </c>
      <c r="D53" t="str">
        <f>IF(Ticketsys!D53=CONCATENATE("long","-","haul"," ","flights"),"YES","NO")</f>
        <v>NO</v>
      </c>
      <c r="E53">
        <f t="shared" si="0"/>
        <v>135</v>
      </c>
      <c r="F53">
        <f t="shared" si="1"/>
        <v>27</v>
      </c>
      <c r="G53">
        <f t="shared" si="2"/>
        <v>27</v>
      </c>
      <c r="H53">
        <f t="shared" si="3"/>
        <v>81</v>
      </c>
      <c r="I53" s="27">
        <f t="shared" si="6"/>
        <v>0.53125000000000022</v>
      </c>
      <c r="J53" t="s">
        <v>1612</v>
      </c>
      <c r="K53" s="28">
        <f>Ticketsys!F53</f>
        <v>1.9479166666666656</v>
      </c>
      <c r="L53" s="27">
        <f t="shared" si="4"/>
        <v>2.4791666666666661</v>
      </c>
      <c r="M53">
        <f t="shared" si="7"/>
        <v>429</v>
      </c>
      <c r="N53" t="str">
        <f t="shared" si="5"/>
        <v>A429429</v>
      </c>
      <c r="O53" t="s">
        <v>1414</v>
      </c>
    </row>
    <row r="54" spans="1:15">
      <c r="A54" s="10" t="s">
        <v>26</v>
      </c>
      <c r="B54" t="s">
        <v>1415</v>
      </c>
      <c r="C54" s="25" t="str">
        <f t="shared" ref="C54:C85" si="57">CONCATENATE("Airbus","A320")</f>
        <v>AirbusA320</v>
      </c>
      <c r="D54" t="str">
        <f>IF(Ticketsys!D54=CONCATENATE("long","-","haul"," ","flights"),"YES","NO")</f>
        <v>NO</v>
      </c>
      <c r="E54">
        <f t="shared" si="0"/>
        <v>150</v>
      </c>
      <c r="F54">
        <f t="shared" si="1"/>
        <v>30</v>
      </c>
      <c r="G54">
        <f t="shared" si="2"/>
        <v>30</v>
      </c>
      <c r="H54">
        <f t="shared" si="3"/>
        <v>90</v>
      </c>
      <c r="I54" s="27">
        <f t="shared" si="6"/>
        <v>0.54166666666666685</v>
      </c>
      <c r="J54" t="s">
        <v>1614</v>
      </c>
      <c r="K54" s="28">
        <f>Ticketsys!F54</f>
        <v>1.9861111111111101</v>
      </c>
      <c r="L54" s="27">
        <f t="shared" si="4"/>
        <v>2.5277777777777768</v>
      </c>
      <c r="M54">
        <f t="shared" si="7"/>
        <v>435</v>
      </c>
      <c r="N54" t="str">
        <f t="shared" si="5"/>
        <v>B435435</v>
      </c>
      <c r="O54" t="s">
        <v>1415</v>
      </c>
    </row>
    <row r="55" spans="1:15">
      <c r="A55" s="10" t="s">
        <v>27</v>
      </c>
      <c r="B55" t="s">
        <v>1416</v>
      </c>
      <c r="C55" s="25" t="str">
        <f t="shared" ref="C55:C86" si="58">CONCATENATE("Airbus","A350")</f>
        <v>AirbusA350</v>
      </c>
      <c r="D55" t="str">
        <f>IF(Ticketsys!D55=CONCATENATE("long","-","haul"," ","flights"),"YES","NO")</f>
        <v>NO</v>
      </c>
      <c r="E55">
        <f t="shared" si="0"/>
        <v>325</v>
      </c>
      <c r="F55">
        <f t="shared" si="1"/>
        <v>65</v>
      </c>
      <c r="G55">
        <f t="shared" si="2"/>
        <v>65</v>
      </c>
      <c r="H55">
        <f t="shared" si="3"/>
        <v>195</v>
      </c>
      <c r="I55" s="27">
        <f t="shared" si="6"/>
        <v>0.55208333333333348</v>
      </c>
      <c r="J55" t="s">
        <v>1614</v>
      </c>
      <c r="K55" s="28">
        <f>Ticketsys!F55</f>
        <v>2.0243055555555545</v>
      </c>
      <c r="L55" s="27">
        <f t="shared" si="4"/>
        <v>2.576388888888888</v>
      </c>
      <c r="M55">
        <f t="shared" si="7"/>
        <v>441</v>
      </c>
      <c r="N55" t="str">
        <f t="shared" si="5"/>
        <v>C441441</v>
      </c>
      <c r="O55" t="s">
        <v>1416</v>
      </c>
    </row>
    <row r="56" spans="1:15">
      <c r="A56" s="10" t="s">
        <v>28</v>
      </c>
      <c r="B56" t="s">
        <v>1417</v>
      </c>
      <c r="C56" s="25" t="str">
        <f t="shared" ref="C56:C87" si="59">CONCATENATE("Airbus","A220")</f>
        <v>AirbusA220</v>
      </c>
      <c r="D56" t="str">
        <f>IF(Ticketsys!D56=CONCATENATE("long","-","haul"," ","flights"),"YES","NO")</f>
        <v>NO</v>
      </c>
      <c r="E56">
        <f t="shared" si="0"/>
        <v>135</v>
      </c>
      <c r="F56">
        <f t="shared" si="1"/>
        <v>27</v>
      </c>
      <c r="G56">
        <f t="shared" si="2"/>
        <v>27</v>
      </c>
      <c r="H56">
        <f t="shared" si="3"/>
        <v>81</v>
      </c>
      <c r="I56" s="27">
        <f t="shared" si="6"/>
        <v>0.56250000000000011</v>
      </c>
      <c r="J56" t="s">
        <v>1614</v>
      </c>
      <c r="K56" s="28">
        <f>Ticketsys!F56</f>
        <v>2.0624999999999991</v>
      </c>
      <c r="L56" s="27">
        <f t="shared" si="4"/>
        <v>2.6249999999999991</v>
      </c>
      <c r="M56">
        <f t="shared" si="7"/>
        <v>447</v>
      </c>
      <c r="N56" t="str">
        <f t="shared" si="5"/>
        <v>A447447</v>
      </c>
      <c r="O56" t="s">
        <v>1417</v>
      </c>
    </row>
    <row r="57" spans="1:15">
      <c r="A57" s="10" t="s">
        <v>29</v>
      </c>
      <c r="B57" t="s">
        <v>1418</v>
      </c>
      <c r="C57" s="25" t="str">
        <f t="shared" ref="C57:C88" si="60">CONCATENATE("Airbus","A320")</f>
        <v>AirbusA320</v>
      </c>
      <c r="D57" t="str">
        <f>IF(Ticketsys!D57=CONCATENATE("long","-","haul"," ","flights"),"YES","NO")</f>
        <v>NO</v>
      </c>
      <c r="E57">
        <f t="shared" si="0"/>
        <v>150</v>
      </c>
      <c r="F57">
        <f t="shared" si="1"/>
        <v>30</v>
      </c>
      <c r="G57">
        <f t="shared" si="2"/>
        <v>30</v>
      </c>
      <c r="H57">
        <f t="shared" si="3"/>
        <v>90</v>
      </c>
      <c r="I57" s="27">
        <f t="shared" si="6"/>
        <v>0.57291666666666674</v>
      </c>
      <c r="J57" t="s">
        <v>1614</v>
      </c>
      <c r="K57" s="28">
        <f>Ticketsys!F57</f>
        <v>2.1006944444444438</v>
      </c>
      <c r="L57" s="27">
        <f t="shared" si="4"/>
        <v>2.6736111111111107</v>
      </c>
      <c r="M57">
        <f t="shared" si="7"/>
        <v>453</v>
      </c>
      <c r="N57" t="str">
        <f t="shared" si="5"/>
        <v>B453453</v>
      </c>
      <c r="O57" t="s">
        <v>1418</v>
      </c>
    </row>
    <row r="58" spans="1:15">
      <c r="A58" s="10" t="s">
        <v>30</v>
      </c>
      <c r="B58" t="s">
        <v>1419</v>
      </c>
      <c r="C58" s="25" t="str">
        <f t="shared" ref="C58:C89" si="61">CONCATENATE("Airbus","A350")</f>
        <v>AirbusA350</v>
      </c>
      <c r="D58" t="str">
        <f>IF(Ticketsys!D58=CONCATENATE("long","-","haul"," ","flights"),"YES","NO")</f>
        <v>NO</v>
      </c>
      <c r="E58">
        <f t="shared" si="0"/>
        <v>325</v>
      </c>
      <c r="F58">
        <f t="shared" si="1"/>
        <v>65</v>
      </c>
      <c r="G58">
        <f t="shared" si="2"/>
        <v>65</v>
      </c>
      <c r="H58">
        <f t="shared" si="3"/>
        <v>195</v>
      </c>
      <c r="I58" s="27">
        <f t="shared" si="6"/>
        <v>0.58333333333333337</v>
      </c>
      <c r="J58" t="s">
        <v>1614</v>
      </c>
      <c r="K58" s="28">
        <f>Ticketsys!F58</f>
        <v>2.1388888888888884</v>
      </c>
      <c r="L58" s="27">
        <f t="shared" si="4"/>
        <v>2.7222222222222219</v>
      </c>
      <c r="M58">
        <f t="shared" si="7"/>
        <v>459</v>
      </c>
      <c r="N58" t="str">
        <f t="shared" si="5"/>
        <v>C459459</v>
      </c>
      <c r="O58" t="s">
        <v>1419</v>
      </c>
    </row>
    <row r="59" spans="1:15">
      <c r="A59" s="10" t="s">
        <v>31</v>
      </c>
      <c r="B59" t="s">
        <v>1420</v>
      </c>
      <c r="C59" s="25" t="str">
        <f t="shared" ref="C59:C90" si="62">CONCATENATE("Airbus","A220")</f>
        <v>AirbusA220</v>
      </c>
      <c r="D59" t="str">
        <f>IF(Ticketsys!D59=CONCATENATE("long","-","haul"," ","flights"),"YES","NO")</f>
        <v>NO</v>
      </c>
      <c r="E59">
        <f t="shared" si="0"/>
        <v>135</v>
      </c>
      <c r="F59">
        <f t="shared" si="1"/>
        <v>27</v>
      </c>
      <c r="G59">
        <f t="shared" si="2"/>
        <v>27</v>
      </c>
      <c r="H59">
        <f t="shared" si="3"/>
        <v>81</v>
      </c>
      <c r="I59" s="27">
        <f t="shared" si="6"/>
        <v>0.59375</v>
      </c>
      <c r="J59" t="s">
        <v>1612</v>
      </c>
      <c r="K59" s="28">
        <f>Ticketsys!F59</f>
        <v>2.177083333333333</v>
      </c>
      <c r="L59" s="27">
        <f t="shared" si="4"/>
        <v>2.770833333333333</v>
      </c>
      <c r="M59">
        <f t="shared" si="7"/>
        <v>465</v>
      </c>
      <c r="N59" t="str">
        <f t="shared" si="5"/>
        <v>D465465</v>
      </c>
      <c r="O59" t="s">
        <v>1420</v>
      </c>
    </row>
    <row r="60" spans="1:15">
      <c r="A60" s="10" t="s">
        <v>32</v>
      </c>
      <c r="B60" t="s">
        <v>1421</v>
      </c>
      <c r="C60" s="25" t="str">
        <f t="shared" ref="C60:C91" si="63">CONCATENATE("Airbus","A320")</f>
        <v>AirbusA320</v>
      </c>
      <c r="D60" t="str">
        <f>IF(Ticketsys!D60=CONCATENATE("long","-","haul"," ","flights"),"YES","NO")</f>
        <v>NO</v>
      </c>
      <c r="E60">
        <f t="shared" si="0"/>
        <v>150</v>
      </c>
      <c r="F60">
        <f t="shared" si="1"/>
        <v>30</v>
      </c>
      <c r="G60">
        <f t="shared" si="2"/>
        <v>30</v>
      </c>
      <c r="H60">
        <f t="shared" si="3"/>
        <v>90</v>
      </c>
      <c r="I60" s="27">
        <f t="shared" si="6"/>
        <v>0.60416666666666663</v>
      </c>
      <c r="J60" t="s">
        <v>1614</v>
      </c>
      <c r="K60" s="28">
        <f>Ticketsys!F60</f>
        <v>2.2152777777777777</v>
      </c>
      <c r="L60" s="27">
        <f t="shared" si="4"/>
        <v>2.8194444444444442</v>
      </c>
      <c r="M60">
        <f t="shared" si="7"/>
        <v>471</v>
      </c>
      <c r="N60" t="str">
        <f t="shared" si="5"/>
        <v>E471471</v>
      </c>
      <c r="O60" t="s">
        <v>1421</v>
      </c>
    </row>
    <row r="61" spans="1:15">
      <c r="A61" s="10" t="s">
        <v>33</v>
      </c>
      <c r="B61" t="s">
        <v>1422</v>
      </c>
      <c r="C61" s="25" t="str">
        <f t="shared" ref="C61:C92" si="64">CONCATENATE("Airbus","A350")</f>
        <v>AirbusA350</v>
      </c>
      <c r="D61" t="str">
        <f>IF(Ticketsys!D61=CONCATENATE("long","-","haul"," ","flights"),"YES","NO")</f>
        <v>NO</v>
      </c>
      <c r="E61">
        <f t="shared" si="0"/>
        <v>325</v>
      </c>
      <c r="F61">
        <f t="shared" si="1"/>
        <v>65</v>
      </c>
      <c r="G61">
        <f t="shared" si="2"/>
        <v>65</v>
      </c>
      <c r="H61">
        <f t="shared" si="3"/>
        <v>195</v>
      </c>
      <c r="I61" s="27">
        <f t="shared" si="6"/>
        <v>0.61458333333333326</v>
      </c>
      <c r="J61" t="s">
        <v>1612</v>
      </c>
      <c r="K61" s="28">
        <f>Ticketsys!F61</f>
        <v>2.2534722222222223</v>
      </c>
      <c r="L61" s="27">
        <f t="shared" si="4"/>
        <v>2.8680555555555554</v>
      </c>
      <c r="M61">
        <f t="shared" si="7"/>
        <v>477</v>
      </c>
      <c r="N61" t="str">
        <f t="shared" si="5"/>
        <v>C477477</v>
      </c>
      <c r="O61" t="s">
        <v>1422</v>
      </c>
    </row>
    <row r="62" spans="1:15">
      <c r="A62" t="s">
        <v>1213</v>
      </c>
      <c r="B62" t="s">
        <v>1423</v>
      </c>
      <c r="C62" s="25" t="str">
        <f t="shared" ref="C62:C93" si="65">CONCATENATE("Airbus","A220")</f>
        <v>AirbusA220</v>
      </c>
      <c r="D62" t="str">
        <f>IF(Ticketsys!D62=CONCATENATE("long","-","haul"," ","flights"),"YES","NO")</f>
        <v>NO</v>
      </c>
      <c r="E62">
        <f t="shared" si="0"/>
        <v>135</v>
      </c>
      <c r="F62">
        <f t="shared" si="1"/>
        <v>27</v>
      </c>
      <c r="G62">
        <f t="shared" si="2"/>
        <v>27</v>
      </c>
      <c r="H62">
        <f t="shared" si="3"/>
        <v>81</v>
      </c>
      <c r="I62" s="27">
        <f t="shared" si="6"/>
        <v>0.62499999999999989</v>
      </c>
      <c r="J62" t="s">
        <v>1612</v>
      </c>
      <c r="K62" s="28">
        <f>Ticketsys!F62</f>
        <v>2.291666666666667</v>
      </c>
      <c r="L62" s="27">
        <f t="shared" si="4"/>
        <v>2.916666666666667</v>
      </c>
      <c r="M62">
        <f t="shared" si="7"/>
        <v>483</v>
      </c>
      <c r="N62" t="str">
        <f t="shared" si="5"/>
        <v>A483483</v>
      </c>
      <c r="O62" t="s">
        <v>1423</v>
      </c>
    </row>
    <row r="63" spans="1:15">
      <c r="A63" t="s">
        <v>1214</v>
      </c>
      <c r="B63" t="s">
        <v>1424</v>
      </c>
      <c r="C63" s="25" t="str">
        <f t="shared" ref="C63:C94" si="66">CONCATENATE("Airbus","A320")</f>
        <v>AirbusA320</v>
      </c>
      <c r="D63" t="str">
        <f>IF(Ticketsys!D63=CONCATENATE("long","-","haul"," ","flights"),"YES","NO")</f>
        <v>NO</v>
      </c>
      <c r="E63">
        <f t="shared" si="0"/>
        <v>150</v>
      </c>
      <c r="F63">
        <f t="shared" si="1"/>
        <v>30</v>
      </c>
      <c r="G63">
        <f t="shared" si="2"/>
        <v>30</v>
      </c>
      <c r="H63">
        <f t="shared" si="3"/>
        <v>90</v>
      </c>
      <c r="I63" s="27">
        <f t="shared" si="6"/>
        <v>0.63541666666666652</v>
      </c>
      <c r="J63" t="s">
        <v>1614</v>
      </c>
      <c r="K63" s="28">
        <f>Ticketsys!F63</f>
        <v>2.3298611111111116</v>
      </c>
      <c r="L63" s="27">
        <f t="shared" si="4"/>
        <v>2.9652777777777781</v>
      </c>
      <c r="M63">
        <f t="shared" si="7"/>
        <v>489</v>
      </c>
      <c r="N63" t="str">
        <f t="shared" si="5"/>
        <v>B489489</v>
      </c>
      <c r="O63" t="s">
        <v>1424</v>
      </c>
    </row>
    <row r="64" spans="1:15">
      <c r="A64" t="s">
        <v>1215</v>
      </c>
      <c r="B64" t="s">
        <v>1425</v>
      </c>
      <c r="C64" s="25" t="str">
        <f t="shared" ref="C64:C95" si="67">CONCATENATE("Airbus","A350")</f>
        <v>AirbusA350</v>
      </c>
      <c r="D64" t="str">
        <f>IF(Ticketsys!D64=CONCATENATE("long","-","haul"," ","flights"),"YES","NO")</f>
        <v>NO</v>
      </c>
      <c r="E64">
        <f t="shared" si="0"/>
        <v>325</v>
      </c>
      <c r="F64">
        <f t="shared" si="1"/>
        <v>65</v>
      </c>
      <c r="G64">
        <f t="shared" si="2"/>
        <v>65</v>
      </c>
      <c r="H64">
        <f t="shared" si="3"/>
        <v>195</v>
      </c>
      <c r="I64" s="27">
        <f t="shared" si="6"/>
        <v>0.64583333333333315</v>
      </c>
      <c r="J64" t="s">
        <v>1613</v>
      </c>
      <c r="K64" s="28">
        <f>Ticketsys!F64</f>
        <v>2.3680555555555562</v>
      </c>
      <c r="L64" s="27">
        <f t="shared" si="4"/>
        <v>3.0138888888888893</v>
      </c>
      <c r="M64">
        <f t="shared" si="7"/>
        <v>495</v>
      </c>
      <c r="N64" t="str">
        <f t="shared" si="5"/>
        <v>C495495</v>
      </c>
      <c r="O64" t="s">
        <v>1425</v>
      </c>
    </row>
    <row r="65" spans="1:15">
      <c r="A65" t="s">
        <v>1216</v>
      </c>
      <c r="B65" t="s">
        <v>1426</v>
      </c>
      <c r="C65" s="25" t="str">
        <f t="shared" ref="C65:C96" si="68">CONCATENATE("Airbus","A220")</f>
        <v>AirbusA220</v>
      </c>
      <c r="D65" t="str">
        <f>IF(Ticketsys!D65=CONCATENATE("long","-","haul"," ","flights"),"YES","NO")</f>
        <v>NO</v>
      </c>
      <c r="E65">
        <f t="shared" si="0"/>
        <v>135</v>
      </c>
      <c r="F65">
        <f t="shared" si="1"/>
        <v>27</v>
      </c>
      <c r="G65">
        <f t="shared" si="2"/>
        <v>27</v>
      </c>
      <c r="H65">
        <f t="shared" si="3"/>
        <v>81</v>
      </c>
      <c r="I65" s="27">
        <f t="shared" si="6"/>
        <v>0.65624999999999978</v>
      </c>
      <c r="J65" t="s">
        <v>1612</v>
      </c>
      <c r="K65" s="28">
        <f>Ticketsys!F65</f>
        <v>2.4062500000000009</v>
      </c>
      <c r="L65" s="27">
        <f t="shared" si="4"/>
        <v>3.0625000000000009</v>
      </c>
      <c r="M65">
        <f t="shared" si="7"/>
        <v>501</v>
      </c>
      <c r="N65" t="str">
        <f t="shared" si="5"/>
        <v>A501501</v>
      </c>
      <c r="O65" t="s">
        <v>1426</v>
      </c>
    </row>
    <row r="66" spans="1:15">
      <c r="A66" t="s">
        <v>1217</v>
      </c>
      <c r="B66" t="s">
        <v>1427</v>
      </c>
      <c r="C66" s="25" t="str">
        <f t="shared" ref="C66:C97" si="69">CONCATENATE("Airbus","A320")</f>
        <v>AirbusA320</v>
      </c>
      <c r="D66" t="str">
        <f>IF(Ticketsys!D66=CONCATENATE("long","-","haul"," ","flights"),"YES","NO")</f>
        <v>NO</v>
      </c>
      <c r="E66">
        <f t="shared" si="0"/>
        <v>150</v>
      </c>
      <c r="F66">
        <f t="shared" si="1"/>
        <v>30</v>
      </c>
      <c r="G66">
        <f t="shared" si="2"/>
        <v>30</v>
      </c>
      <c r="H66">
        <f t="shared" si="3"/>
        <v>90</v>
      </c>
      <c r="I66" s="27">
        <f t="shared" si="6"/>
        <v>0.66666666666666641</v>
      </c>
      <c r="J66" t="s">
        <v>1613</v>
      </c>
      <c r="K66" s="28">
        <f>Ticketsys!F66</f>
        <v>2.4444444444444455</v>
      </c>
      <c r="L66" s="27">
        <f t="shared" si="4"/>
        <v>3.111111111111112</v>
      </c>
      <c r="M66">
        <f t="shared" si="7"/>
        <v>507</v>
      </c>
      <c r="N66" t="str">
        <f t="shared" si="5"/>
        <v>B507507</v>
      </c>
      <c r="O66" t="s">
        <v>1427</v>
      </c>
    </row>
    <row r="67" spans="1:15">
      <c r="A67" t="s">
        <v>1218</v>
      </c>
      <c r="B67" t="s">
        <v>1428</v>
      </c>
      <c r="C67" s="25" t="str">
        <f t="shared" ref="C67:C98" si="70">CONCATENATE("Airbus","A350")</f>
        <v>AirbusA350</v>
      </c>
      <c r="D67" t="str">
        <f>IF(Ticketsys!D67=CONCATENATE("long","-","haul"," ","flights"),"YES","NO")</f>
        <v>NO</v>
      </c>
      <c r="E67">
        <f t="shared" ref="E67:E130" si="71">IF(C67=CONCATENATE("Airbus","A220"),135,(IF(C67=CONCATENATE("Airbus","A320"),150,325)))</f>
        <v>325</v>
      </c>
      <c r="F67">
        <f t="shared" ref="F67:F130" si="72">E67*(20/100)</f>
        <v>65</v>
      </c>
      <c r="G67">
        <f t="shared" ref="G67:G130" si="73">E67*(20/100)</f>
        <v>65</v>
      </c>
      <c r="H67">
        <f t="shared" ref="H67:H130" si="74">E67*(60/100)</f>
        <v>195</v>
      </c>
      <c r="I67" s="27">
        <f t="shared" si="6"/>
        <v>0.67708333333333304</v>
      </c>
      <c r="J67" t="s">
        <v>1612</v>
      </c>
      <c r="K67" s="28">
        <f>Ticketsys!F67</f>
        <v>2.4826388888888902</v>
      </c>
      <c r="L67" s="27">
        <f t="shared" ref="L67:L130" si="75">K67+I67</f>
        <v>3.1597222222222232</v>
      </c>
      <c r="M67">
        <f t="shared" si="7"/>
        <v>513</v>
      </c>
      <c r="N67" t="str">
        <f t="shared" ref="N67:N130" si="76">CONCATENATE(B67,M67)</f>
        <v>C513513</v>
      </c>
      <c r="O67" t="s">
        <v>1428</v>
      </c>
    </row>
    <row r="68" spans="1:15">
      <c r="A68" t="s">
        <v>1219</v>
      </c>
      <c r="B68" t="s">
        <v>1429</v>
      </c>
      <c r="C68" s="25" t="str">
        <f t="shared" ref="C68:C99" si="77">CONCATENATE("Airbus","A220")</f>
        <v>AirbusA220</v>
      </c>
      <c r="D68" t="str">
        <f>IF(Ticketsys!D68=CONCATENATE("long","-","haul"," ","flights"),"YES","NO")</f>
        <v>NO</v>
      </c>
      <c r="E68">
        <f t="shared" si="71"/>
        <v>135</v>
      </c>
      <c r="F68">
        <f t="shared" si="72"/>
        <v>27</v>
      </c>
      <c r="G68">
        <f t="shared" si="73"/>
        <v>27</v>
      </c>
      <c r="H68">
        <f t="shared" si="74"/>
        <v>81</v>
      </c>
      <c r="I68" s="27">
        <f t="shared" ref="I68:I131" si="78">I67+"00:15:00"</f>
        <v>0.68749999999999967</v>
      </c>
      <c r="J68" t="s">
        <v>1614</v>
      </c>
      <c r="K68" s="28">
        <f>Ticketsys!F68</f>
        <v>2.5208333333333348</v>
      </c>
      <c r="L68" s="27">
        <f t="shared" si="75"/>
        <v>3.2083333333333344</v>
      </c>
      <c r="M68">
        <f t="shared" ref="M68:M131" si="79">M67+6</f>
        <v>519</v>
      </c>
      <c r="N68" t="str">
        <f t="shared" si="76"/>
        <v>D519519</v>
      </c>
      <c r="O68" t="s">
        <v>1429</v>
      </c>
    </row>
    <row r="69" spans="1:15">
      <c r="A69" t="s">
        <v>1220</v>
      </c>
      <c r="B69" t="s">
        <v>1430</v>
      </c>
      <c r="C69" s="25" t="str">
        <f t="shared" ref="C69:C100" si="80">CONCATENATE("Airbus","A320")</f>
        <v>AirbusA320</v>
      </c>
      <c r="D69" t="str">
        <f>IF(Ticketsys!D69=CONCATENATE("long","-","haul"," ","flights"),"YES","NO")</f>
        <v>NO</v>
      </c>
      <c r="E69">
        <f t="shared" si="71"/>
        <v>150</v>
      </c>
      <c r="F69">
        <f t="shared" si="72"/>
        <v>30</v>
      </c>
      <c r="G69">
        <f t="shared" si="73"/>
        <v>30</v>
      </c>
      <c r="H69">
        <f t="shared" si="74"/>
        <v>90</v>
      </c>
      <c r="I69" s="27">
        <f t="shared" si="78"/>
        <v>0.6979166666666663</v>
      </c>
      <c r="J69" t="s">
        <v>1614</v>
      </c>
      <c r="K69" s="28">
        <f>Ticketsys!F69</f>
        <v>2.5590277777777795</v>
      </c>
      <c r="L69" s="27">
        <f t="shared" si="75"/>
        <v>3.2569444444444455</v>
      </c>
      <c r="M69">
        <f t="shared" si="79"/>
        <v>525</v>
      </c>
      <c r="N69" t="str">
        <f t="shared" si="76"/>
        <v>E525525</v>
      </c>
      <c r="O69" t="s">
        <v>1430</v>
      </c>
    </row>
    <row r="70" spans="1:15">
      <c r="A70" t="s">
        <v>1221</v>
      </c>
      <c r="B70" t="s">
        <v>1431</v>
      </c>
      <c r="C70" s="25" t="str">
        <f t="shared" ref="C70:C101" si="81">CONCATENATE("Airbus","A350")</f>
        <v>AirbusA350</v>
      </c>
      <c r="D70" t="str">
        <f>IF(Ticketsys!D70=CONCATENATE("long","-","haul"," ","flights"),"YES","NO")</f>
        <v>NO</v>
      </c>
      <c r="E70">
        <f t="shared" si="71"/>
        <v>325</v>
      </c>
      <c r="F70">
        <f t="shared" si="72"/>
        <v>65</v>
      </c>
      <c r="G70">
        <f t="shared" si="73"/>
        <v>65</v>
      </c>
      <c r="H70">
        <f t="shared" si="74"/>
        <v>195</v>
      </c>
      <c r="I70" s="27">
        <f t="shared" si="78"/>
        <v>0.70833333333333293</v>
      </c>
      <c r="J70" t="s">
        <v>1614</v>
      </c>
      <c r="K70" s="28">
        <f>Ticketsys!F70</f>
        <v>2.5972222222222241</v>
      </c>
      <c r="L70" s="27">
        <f t="shared" si="75"/>
        <v>3.3055555555555571</v>
      </c>
      <c r="M70">
        <f t="shared" si="79"/>
        <v>531</v>
      </c>
      <c r="N70" t="str">
        <f t="shared" si="76"/>
        <v>C531531</v>
      </c>
      <c r="O70" t="s">
        <v>1431</v>
      </c>
    </row>
    <row r="71" spans="1:15">
      <c r="A71" t="s">
        <v>1222</v>
      </c>
      <c r="B71" t="s">
        <v>1432</v>
      </c>
      <c r="C71" s="25" t="str">
        <f t="shared" ref="C71:C102" si="82">CONCATENATE("Airbus","A220")</f>
        <v>AirbusA220</v>
      </c>
      <c r="D71" t="str">
        <f>IF(Ticketsys!D71=CONCATENATE("long","-","haul"," ","flights"),"YES","NO")</f>
        <v>NO</v>
      </c>
      <c r="E71">
        <f t="shared" si="71"/>
        <v>135</v>
      </c>
      <c r="F71">
        <f t="shared" si="72"/>
        <v>27</v>
      </c>
      <c r="G71">
        <f t="shared" si="73"/>
        <v>27</v>
      </c>
      <c r="H71">
        <f t="shared" si="74"/>
        <v>81</v>
      </c>
      <c r="I71" s="27">
        <f t="shared" si="78"/>
        <v>0.71874999999999956</v>
      </c>
      <c r="J71" t="s">
        <v>1614</v>
      </c>
      <c r="K71" s="28">
        <f>Ticketsys!F71</f>
        <v>2.6354166666666687</v>
      </c>
      <c r="L71" s="27">
        <f t="shared" si="75"/>
        <v>3.3541666666666683</v>
      </c>
      <c r="M71">
        <f t="shared" si="79"/>
        <v>537</v>
      </c>
      <c r="N71" t="str">
        <f t="shared" si="76"/>
        <v>A537537</v>
      </c>
      <c r="O71" t="s">
        <v>1432</v>
      </c>
    </row>
    <row r="72" spans="1:15">
      <c r="A72" t="s">
        <v>1223</v>
      </c>
      <c r="B72" t="s">
        <v>1433</v>
      </c>
      <c r="C72" s="25" t="str">
        <f t="shared" ref="C72:C103" si="83">CONCATENATE("Airbus","A320")</f>
        <v>AirbusA320</v>
      </c>
      <c r="D72" t="str">
        <f>IF(Ticketsys!D72=CONCATENATE("long","-","haul"," ","flights"),"YES","NO")</f>
        <v>NO</v>
      </c>
      <c r="E72">
        <f t="shared" si="71"/>
        <v>150</v>
      </c>
      <c r="F72">
        <f t="shared" si="72"/>
        <v>30</v>
      </c>
      <c r="G72">
        <f t="shared" si="73"/>
        <v>30</v>
      </c>
      <c r="H72">
        <f t="shared" si="74"/>
        <v>90</v>
      </c>
      <c r="I72" s="27">
        <f t="shared" si="78"/>
        <v>0.72916666666666619</v>
      </c>
      <c r="J72" t="s">
        <v>1614</v>
      </c>
      <c r="K72" s="28">
        <f>Ticketsys!F72</f>
        <v>2.6736111111111134</v>
      </c>
      <c r="L72" s="27">
        <f t="shared" si="75"/>
        <v>3.4027777777777795</v>
      </c>
      <c r="M72">
        <f t="shared" si="79"/>
        <v>543</v>
      </c>
      <c r="N72" t="str">
        <f t="shared" si="76"/>
        <v>B543543</v>
      </c>
      <c r="O72" t="s">
        <v>1433</v>
      </c>
    </row>
    <row r="73" spans="1:15">
      <c r="A73" t="s">
        <v>1224</v>
      </c>
      <c r="B73" t="s">
        <v>1434</v>
      </c>
      <c r="C73" s="25" t="str">
        <f t="shared" ref="C73:C104" si="84">CONCATENATE("Airbus","A350")</f>
        <v>AirbusA350</v>
      </c>
      <c r="D73" t="str">
        <f>IF(Ticketsys!D73=CONCATENATE("long","-","haul"," ","flights"),"YES","NO")</f>
        <v>NO</v>
      </c>
      <c r="E73">
        <f t="shared" si="71"/>
        <v>325</v>
      </c>
      <c r="F73">
        <f t="shared" si="72"/>
        <v>65</v>
      </c>
      <c r="G73">
        <f t="shared" si="73"/>
        <v>65</v>
      </c>
      <c r="H73">
        <f t="shared" si="74"/>
        <v>195</v>
      </c>
      <c r="I73" s="27">
        <f t="shared" si="78"/>
        <v>0.73958333333333282</v>
      </c>
      <c r="J73" t="s">
        <v>1612</v>
      </c>
      <c r="K73" s="28">
        <f>Ticketsys!F73</f>
        <v>2.711805555555558</v>
      </c>
      <c r="L73" s="27">
        <f t="shared" si="75"/>
        <v>3.4513888888888911</v>
      </c>
      <c r="M73">
        <f t="shared" si="79"/>
        <v>549</v>
      </c>
      <c r="N73" t="str">
        <f t="shared" si="76"/>
        <v>C549549</v>
      </c>
      <c r="O73" t="s">
        <v>1434</v>
      </c>
    </row>
    <row r="74" spans="1:15">
      <c r="A74" t="s">
        <v>1225</v>
      </c>
      <c r="B74" t="s">
        <v>1435</v>
      </c>
      <c r="C74" s="25" t="str">
        <f t="shared" ref="C74:C105" si="85">CONCATENATE("Airbus","A220")</f>
        <v>AirbusA220</v>
      </c>
      <c r="D74" t="str">
        <f>IF(Ticketsys!D74=CONCATENATE("long","-","haul"," ","flights"),"YES","NO")</f>
        <v>NO</v>
      </c>
      <c r="E74">
        <f t="shared" si="71"/>
        <v>135</v>
      </c>
      <c r="F74">
        <f t="shared" si="72"/>
        <v>27</v>
      </c>
      <c r="G74">
        <f t="shared" si="73"/>
        <v>27</v>
      </c>
      <c r="H74">
        <f t="shared" si="74"/>
        <v>81</v>
      </c>
      <c r="I74" s="27">
        <f t="shared" si="78"/>
        <v>0.74999999999999944</v>
      </c>
      <c r="J74" t="s">
        <v>1614</v>
      </c>
      <c r="K74" s="28">
        <f>Ticketsys!F74</f>
        <v>2.7500000000000027</v>
      </c>
      <c r="L74" s="27">
        <f t="shared" si="75"/>
        <v>3.5000000000000022</v>
      </c>
      <c r="M74">
        <f t="shared" si="79"/>
        <v>555</v>
      </c>
      <c r="N74" t="str">
        <f t="shared" si="76"/>
        <v>A555555</v>
      </c>
      <c r="O74" t="s">
        <v>1435</v>
      </c>
    </row>
    <row r="75" spans="1:15">
      <c r="A75" t="s">
        <v>1226</v>
      </c>
      <c r="B75" t="s">
        <v>1436</v>
      </c>
      <c r="C75" s="25" t="str">
        <f t="shared" ref="C75:C106" si="86">CONCATENATE("Airbus","A320")</f>
        <v>AirbusA320</v>
      </c>
      <c r="D75" t="str">
        <f>IF(Ticketsys!D75=CONCATENATE("long","-","haul"," ","flights"),"YES","NO")</f>
        <v>NO</v>
      </c>
      <c r="E75">
        <f t="shared" si="71"/>
        <v>150</v>
      </c>
      <c r="F75">
        <f t="shared" si="72"/>
        <v>30</v>
      </c>
      <c r="G75">
        <f t="shared" si="73"/>
        <v>30</v>
      </c>
      <c r="H75">
        <f t="shared" si="74"/>
        <v>90</v>
      </c>
      <c r="I75" s="27">
        <f t="shared" si="78"/>
        <v>0.76041666666666607</v>
      </c>
      <c r="J75" t="s">
        <v>1612</v>
      </c>
      <c r="K75" s="28">
        <f>Ticketsys!F75</f>
        <v>2.7881944444444473</v>
      </c>
      <c r="L75" s="27">
        <f t="shared" si="75"/>
        <v>3.5486111111111134</v>
      </c>
      <c r="M75">
        <f t="shared" si="79"/>
        <v>561</v>
      </c>
      <c r="N75" t="str">
        <f t="shared" si="76"/>
        <v>B561561</v>
      </c>
      <c r="O75" t="s">
        <v>1436</v>
      </c>
    </row>
    <row r="76" spans="1:15">
      <c r="A76" t="s">
        <v>1227</v>
      </c>
      <c r="B76" t="s">
        <v>1437</v>
      </c>
      <c r="C76" s="25" t="str">
        <f t="shared" ref="C76:C107" si="87">CONCATENATE("Airbus","A350")</f>
        <v>AirbusA350</v>
      </c>
      <c r="D76" t="str">
        <f>IF(Ticketsys!D76=CONCATENATE("long","-","haul"," ","flights"),"YES","NO")</f>
        <v>NO</v>
      </c>
      <c r="E76">
        <f t="shared" si="71"/>
        <v>325</v>
      </c>
      <c r="F76">
        <f t="shared" si="72"/>
        <v>65</v>
      </c>
      <c r="G76">
        <f t="shared" si="73"/>
        <v>65</v>
      </c>
      <c r="H76">
        <f t="shared" si="74"/>
        <v>195</v>
      </c>
      <c r="I76" s="27">
        <f t="shared" si="78"/>
        <v>0.7708333333333327</v>
      </c>
      <c r="J76" t="s">
        <v>1612</v>
      </c>
      <c r="K76" s="28">
        <f>Ticketsys!F76</f>
        <v>2.8263888888888919</v>
      </c>
      <c r="L76" s="27">
        <f t="shared" si="75"/>
        <v>3.5972222222222245</v>
      </c>
      <c r="M76">
        <f t="shared" si="79"/>
        <v>567</v>
      </c>
      <c r="N76" t="str">
        <f t="shared" si="76"/>
        <v>C567567</v>
      </c>
      <c r="O76" t="s">
        <v>1437</v>
      </c>
    </row>
    <row r="77" spans="1:15">
      <c r="A77" t="s">
        <v>1228</v>
      </c>
      <c r="B77" t="s">
        <v>1438</v>
      </c>
      <c r="C77" s="25" t="str">
        <f t="shared" ref="C77:C108" si="88">CONCATENATE("Airbus","A220")</f>
        <v>AirbusA220</v>
      </c>
      <c r="D77" t="str">
        <f>IF(Ticketsys!D77=CONCATENATE("long","-","haul"," ","flights"),"YES","NO")</f>
        <v>NO</v>
      </c>
      <c r="E77">
        <f t="shared" si="71"/>
        <v>135</v>
      </c>
      <c r="F77">
        <f t="shared" si="72"/>
        <v>27</v>
      </c>
      <c r="G77">
        <f t="shared" si="73"/>
        <v>27</v>
      </c>
      <c r="H77">
        <f t="shared" si="74"/>
        <v>81</v>
      </c>
      <c r="I77" s="27">
        <f t="shared" si="78"/>
        <v>0.78124999999999933</v>
      </c>
      <c r="J77" t="s">
        <v>1614</v>
      </c>
      <c r="K77" s="28">
        <f>Ticketsys!F77</f>
        <v>2.8645833333333366</v>
      </c>
      <c r="L77" s="27">
        <f t="shared" si="75"/>
        <v>3.6458333333333357</v>
      </c>
      <c r="M77">
        <f t="shared" si="79"/>
        <v>573</v>
      </c>
      <c r="N77" t="str">
        <f t="shared" si="76"/>
        <v>D573573</v>
      </c>
      <c r="O77" t="s">
        <v>1438</v>
      </c>
    </row>
    <row r="78" spans="1:15">
      <c r="A78" t="s">
        <v>1229</v>
      </c>
      <c r="B78" t="s">
        <v>1439</v>
      </c>
      <c r="C78" s="25" t="str">
        <f t="shared" ref="C78:C109" si="89">CONCATENATE("Airbus","A320")</f>
        <v>AirbusA320</v>
      </c>
      <c r="D78" t="str">
        <f>IF(Ticketsys!D78=CONCATENATE("long","-","haul"," ","flights"),"YES","NO")</f>
        <v>NO</v>
      </c>
      <c r="E78">
        <f t="shared" si="71"/>
        <v>150</v>
      </c>
      <c r="F78">
        <f t="shared" si="72"/>
        <v>30</v>
      </c>
      <c r="G78">
        <f t="shared" si="73"/>
        <v>30</v>
      </c>
      <c r="H78">
        <f t="shared" si="74"/>
        <v>90</v>
      </c>
      <c r="I78" s="27">
        <f t="shared" si="78"/>
        <v>0.79166666666666596</v>
      </c>
      <c r="J78" t="s">
        <v>1614</v>
      </c>
      <c r="K78" s="28">
        <f>Ticketsys!F78</f>
        <v>2.9027777777777812</v>
      </c>
      <c r="L78" s="27">
        <f t="shared" si="75"/>
        <v>3.6944444444444473</v>
      </c>
      <c r="M78">
        <f t="shared" si="79"/>
        <v>579</v>
      </c>
      <c r="N78" t="str">
        <f t="shared" si="76"/>
        <v>E579579</v>
      </c>
      <c r="O78" t="s">
        <v>1439</v>
      </c>
    </row>
    <row r="79" spans="1:15">
      <c r="A79" t="s">
        <v>1230</v>
      </c>
      <c r="B79" t="s">
        <v>1440</v>
      </c>
      <c r="C79" s="25" t="str">
        <f t="shared" ref="C79:C110" si="90">CONCATENATE("Airbus","A350")</f>
        <v>AirbusA350</v>
      </c>
      <c r="D79" t="str">
        <f>IF(Ticketsys!D79=CONCATENATE("long","-","haul"," ","flights"),"YES","NO")</f>
        <v>NO</v>
      </c>
      <c r="E79">
        <f t="shared" si="71"/>
        <v>325</v>
      </c>
      <c r="F79">
        <f t="shared" si="72"/>
        <v>65</v>
      </c>
      <c r="G79">
        <f t="shared" si="73"/>
        <v>65</v>
      </c>
      <c r="H79">
        <f t="shared" si="74"/>
        <v>195</v>
      </c>
      <c r="I79" s="27">
        <f t="shared" si="78"/>
        <v>0.80208333333333259</v>
      </c>
      <c r="J79" t="s">
        <v>1614</v>
      </c>
      <c r="K79" s="28">
        <f>Ticketsys!F79</f>
        <v>2.9409722222222259</v>
      </c>
      <c r="L79" s="27">
        <f t="shared" si="75"/>
        <v>3.7430555555555585</v>
      </c>
      <c r="M79">
        <f t="shared" si="79"/>
        <v>585</v>
      </c>
      <c r="N79" t="str">
        <f t="shared" si="76"/>
        <v>C585585</v>
      </c>
      <c r="O79" t="s">
        <v>1440</v>
      </c>
    </row>
    <row r="80" spans="1:15">
      <c r="A80" t="s">
        <v>1231</v>
      </c>
      <c r="B80" t="s">
        <v>1441</v>
      </c>
      <c r="C80" s="25" t="str">
        <f t="shared" ref="C80:C111" si="91">CONCATENATE("Airbus","A220")</f>
        <v>AirbusA220</v>
      </c>
      <c r="D80" t="str">
        <f>IF(Ticketsys!D80=CONCATENATE("long","-","haul"," ","flights"),"YES","NO")</f>
        <v>NO</v>
      </c>
      <c r="E80">
        <f t="shared" si="71"/>
        <v>135</v>
      </c>
      <c r="F80">
        <f t="shared" si="72"/>
        <v>27</v>
      </c>
      <c r="G80">
        <f t="shared" si="73"/>
        <v>27</v>
      </c>
      <c r="H80">
        <f t="shared" si="74"/>
        <v>81</v>
      </c>
      <c r="I80" s="27">
        <f t="shared" si="78"/>
        <v>0.81249999999999922</v>
      </c>
      <c r="J80" t="s">
        <v>1612</v>
      </c>
      <c r="K80" s="28">
        <f>Ticketsys!F80</f>
        <v>2.9791666666666705</v>
      </c>
      <c r="L80" s="27">
        <f t="shared" si="75"/>
        <v>3.7916666666666696</v>
      </c>
      <c r="M80">
        <f t="shared" si="79"/>
        <v>591</v>
      </c>
      <c r="N80" t="str">
        <f t="shared" si="76"/>
        <v>A591591</v>
      </c>
      <c r="O80" t="s">
        <v>1441</v>
      </c>
    </row>
    <row r="81" spans="1:15">
      <c r="A81" t="s">
        <v>1232</v>
      </c>
      <c r="B81" t="s">
        <v>1442</v>
      </c>
      <c r="C81" s="25" t="str">
        <f t="shared" ref="C81:C112" si="92">CONCATENATE("Airbus","A320")</f>
        <v>AirbusA320</v>
      </c>
      <c r="D81" t="str">
        <f>IF(Ticketsys!D81=CONCATENATE("long","-","haul"," ","flights"),"YES","NO")</f>
        <v>NO</v>
      </c>
      <c r="E81">
        <f t="shared" si="71"/>
        <v>150</v>
      </c>
      <c r="F81">
        <f t="shared" si="72"/>
        <v>30</v>
      </c>
      <c r="G81">
        <f t="shared" si="73"/>
        <v>30</v>
      </c>
      <c r="H81">
        <f t="shared" si="74"/>
        <v>90</v>
      </c>
      <c r="I81" s="27">
        <f t="shared" si="78"/>
        <v>0.82291666666666585</v>
      </c>
      <c r="J81" t="s">
        <v>1613</v>
      </c>
      <c r="K81" s="28">
        <f>Ticketsys!F81</f>
        <v>3.0173611111111152</v>
      </c>
      <c r="L81" s="27">
        <f t="shared" si="75"/>
        <v>3.8402777777777812</v>
      </c>
      <c r="M81">
        <f t="shared" si="79"/>
        <v>597</v>
      </c>
      <c r="N81" t="str">
        <f t="shared" si="76"/>
        <v>B597597</v>
      </c>
      <c r="O81" t="s">
        <v>1442</v>
      </c>
    </row>
    <row r="82" spans="1:15">
      <c r="A82" t="s">
        <v>1233</v>
      </c>
      <c r="B82" t="s">
        <v>1443</v>
      </c>
      <c r="C82" s="25" t="str">
        <f t="shared" ref="C82:C113" si="93">CONCATENATE("Airbus","A350")</f>
        <v>AirbusA350</v>
      </c>
      <c r="D82" t="str">
        <f>IF(Ticketsys!D82=CONCATENATE("long","-","haul"," ","flights"),"YES","NO")</f>
        <v>NO</v>
      </c>
      <c r="E82">
        <f t="shared" si="71"/>
        <v>325</v>
      </c>
      <c r="F82">
        <f t="shared" si="72"/>
        <v>65</v>
      </c>
      <c r="G82">
        <f t="shared" si="73"/>
        <v>65</v>
      </c>
      <c r="H82">
        <f t="shared" si="74"/>
        <v>195</v>
      </c>
      <c r="I82" s="27">
        <f t="shared" si="78"/>
        <v>0.83333333333333248</v>
      </c>
      <c r="J82" t="s">
        <v>1612</v>
      </c>
      <c r="K82" s="28">
        <f>Ticketsys!F82</f>
        <v>3.0555555555555598</v>
      </c>
      <c r="L82" s="27">
        <f t="shared" si="75"/>
        <v>3.8888888888888924</v>
      </c>
      <c r="M82">
        <f t="shared" si="79"/>
        <v>603</v>
      </c>
      <c r="N82" t="str">
        <f t="shared" si="76"/>
        <v>C603603</v>
      </c>
      <c r="O82" t="s">
        <v>1443</v>
      </c>
    </row>
    <row r="83" spans="1:15">
      <c r="A83" t="s">
        <v>1234</v>
      </c>
      <c r="B83" t="s">
        <v>1444</v>
      </c>
      <c r="C83" s="25" t="str">
        <f t="shared" ref="C83:C114" si="94">CONCATENATE("Airbus","A220")</f>
        <v>AirbusA220</v>
      </c>
      <c r="D83" t="str">
        <f>IF(Ticketsys!D83=CONCATENATE("long","-","haul"," ","flights"),"YES","NO")</f>
        <v>NO</v>
      </c>
      <c r="E83">
        <f t="shared" si="71"/>
        <v>135</v>
      </c>
      <c r="F83">
        <f t="shared" si="72"/>
        <v>27</v>
      </c>
      <c r="G83">
        <f t="shared" si="73"/>
        <v>27</v>
      </c>
      <c r="H83">
        <f t="shared" si="74"/>
        <v>81</v>
      </c>
      <c r="I83" s="27">
        <f t="shared" si="78"/>
        <v>0.84374999999999911</v>
      </c>
      <c r="J83" t="s">
        <v>1614</v>
      </c>
      <c r="K83" s="28">
        <f>Ticketsys!F83</f>
        <v>3.0937500000000044</v>
      </c>
      <c r="L83" s="27">
        <f t="shared" si="75"/>
        <v>3.9375000000000036</v>
      </c>
      <c r="M83">
        <f t="shared" si="79"/>
        <v>609</v>
      </c>
      <c r="N83" t="str">
        <f t="shared" si="76"/>
        <v>A609609</v>
      </c>
      <c r="O83" t="s">
        <v>1444</v>
      </c>
    </row>
    <row r="84" spans="1:15">
      <c r="A84" t="s">
        <v>1235</v>
      </c>
      <c r="B84" t="s">
        <v>1445</v>
      </c>
      <c r="C84" s="25" t="str">
        <f t="shared" ref="C84:C115" si="95">CONCATENATE("Airbus","A320")</f>
        <v>AirbusA320</v>
      </c>
      <c r="D84" t="str">
        <f>IF(Ticketsys!D84=CONCATENATE("long","-","haul"," ","flights"),"YES","NO")</f>
        <v>NO</v>
      </c>
      <c r="E84">
        <f t="shared" si="71"/>
        <v>150</v>
      </c>
      <c r="F84">
        <f t="shared" si="72"/>
        <v>30</v>
      </c>
      <c r="G84">
        <f t="shared" si="73"/>
        <v>30</v>
      </c>
      <c r="H84">
        <f t="shared" si="74"/>
        <v>90</v>
      </c>
      <c r="I84" s="27">
        <f t="shared" si="78"/>
        <v>0.85416666666666574</v>
      </c>
      <c r="J84" t="s">
        <v>1614</v>
      </c>
      <c r="K84" s="28">
        <f>Ticketsys!F84</f>
        <v>3.1319444444444491</v>
      </c>
      <c r="L84" s="27">
        <f t="shared" si="75"/>
        <v>3.9861111111111147</v>
      </c>
      <c r="M84">
        <f t="shared" si="79"/>
        <v>615</v>
      </c>
      <c r="N84" t="str">
        <f t="shared" si="76"/>
        <v>B615615</v>
      </c>
      <c r="O84" t="s">
        <v>1445</v>
      </c>
    </row>
    <row r="85" spans="1:15">
      <c r="A85" t="s">
        <v>1236</v>
      </c>
      <c r="B85" t="s">
        <v>1446</v>
      </c>
      <c r="C85" s="25" t="str">
        <f t="shared" ref="C85:C116" si="96">CONCATENATE("Airbus","A350")</f>
        <v>AirbusA350</v>
      </c>
      <c r="D85" t="str">
        <f>IF(Ticketsys!D85=CONCATENATE("long","-","haul"," ","flights"),"YES","NO")</f>
        <v>NO</v>
      </c>
      <c r="E85">
        <f t="shared" si="71"/>
        <v>325</v>
      </c>
      <c r="F85">
        <f t="shared" si="72"/>
        <v>65</v>
      </c>
      <c r="G85">
        <f t="shared" si="73"/>
        <v>65</v>
      </c>
      <c r="H85">
        <f t="shared" si="74"/>
        <v>195</v>
      </c>
      <c r="I85" s="27">
        <f t="shared" si="78"/>
        <v>0.86458333333333237</v>
      </c>
      <c r="J85" t="s">
        <v>1614</v>
      </c>
      <c r="K85" s="28">
        <f>Ticketsys!F85</f>
        <v>3.1701388888888937</v>
      </c>
      <c r="L85" s="27">
        <f t="shared" si="75"/>
        <v>4.0347222222222259</v>
      </c>
      <c r="M85">
        <f t="shared" si="79"/>
        <v>621</v>
      </c>
      <c r="N85" t="str">
        <f t="shared" si="76"/>
        <v>C621621</v>
      </c>
      <c r="O85" t="s">
        <v>1446</v>
      </c>
    </row>
    <row r="86" spans="1:15">
      <c r="A86" t="s">
        <v>1237</v>
      </c>
      <c r="B86" t="s">
        <v>1447</v>
      </c>
      <c r="C86" s="25" t="str">
        <f t="shared" ref="C86:C117" si="97">CONCATENATE("Airbus","A220")</f>
        <v>AirbusA220</v>
      </c>
      <c r="D86" t="str">
        <f>IF(Ticketsys!D86=CONCATENATE("long","-","haul"," ","flights"),"YES","NO")</f>
        <v>NO</v>
      </c>
      <c r="E86">
        <f t="shared" si="71"/>
        <v>135</v>
      </c>
      <c r="F86">
        <f t="shared" si="72"/>
        <v>27</v>
      </c>
      <c r="G86">
        <f t="shared" si="73"/>
        <v>27</v>
      </c>
      <c r="H86">
        <f t="shared" si="74"/>
        <v>81</v>
      </c>
      <c r="I86" s="27">
        <f t="shared" si="78"/>
        <v>0.874999999999999</v>
      </c>
      <c r="J86" t="s">
        <v>1614</v>
      </c>
      <c r="K86" s="28">
        <f>Ticketsys!F86</f>
        <v>3.2083333333333384</v>
      </c>
      <c r="L86" s="27">
        <f t="shared" si="75"/>
        <v>4.0833333333333375</v>
      </c>
      <c r="M86">
        <f t="shared" si="79"/>
        <v>627</v>
      </c>
      <c r="N86" t="str">
        <f t="shared" si="76"/>
        <v>D627627</v>
      </c>
      <c r="O86" t="s">
        <v>1447</v>
      </c>
    </row>
    <row r="87" spans="1:15">
      <c r="A87" t="s">
        <v>1238</v>
      </c>
      <c r="B87" t="s">
        <v>1448</v>
      </c>
      <c r="C87" s="25" t="str">
        <f t="shared" ref="C87:C118" si="98">CONCATENATE("Airbus","A320")</f>
        <v>AirbusA320</v>
      </c>
      <c r="D87" t="str">
        <f>IF(Ticketsys!D87=CONCATENATE("long","-","haul"," ","flights"),"YES","NO")</f>
        <v>NO</v>
      </c>
      <c r="E87">
        <f t="shared" si="71"/>
        <v>150</v>
      </c>
      <c r="F87">
        <f t="shared" si="72"/>
        <v>30</v>
      </c>
      <c r="G87">
        <f t="shared" si="73"/>
        <v>30</v>
      </c>
      <c r="H87">
        <f t="shared" si="74"/>
        <v>90</v>
      </c>
      <c r="I87" s="27">
        <f t="shared" si="78"/>
        <v>0.88541666666666563</v>
      </c>
      <c r="J87" t="s">
        <v>1614</v>
      </c>
      <c r="K87" s="28">
        <f>Ticketsys!F87</f>
        <v>3.246527777777783</v>
      </c>
      <c r="L87" s="27">
        <f t="shared" si="75"/>
        <v>4.1319444444444482</v>
      </c>
      <c r="M87">
        <f t="shared" si="79"/>
        <v>633</v>
      </c>
      <c r="N87" t="str">
        <f t="shared" si="76"/>
        <v>E633633</v>
      </c>
      <c r="O87" t="s">
        <v>1448</v>
      </c>
    </row>
    <row r="88" spans="1:15">
      <c r="A88" t="s">
        <v>1239</v>
      </c>
      <c r="B88" t="s">
        <v>1449</v>
      </c>
      <c r="C88" s="25" t="str">
        <f t="shared" ref="C88:C119" si="99">CONCATENATE("Airbus","A350")</f>
        <v>AirbusA350</v>
      </c>
      <c r="D88" t="str">
        <f>IF(Ticketsys!D88=CONCATENATE("long","-","haul"," ","flights"),"YES","NO")</f>
        <v>NO</v>
      </c>
      <c r="E88">
        <f t="shared" si="71"/>
        <v>325</v>
      </c>
      <c r="F88">
        <f t="shared" si="72"/>
        <v>65</v>
      </c>
      <c r="G88">
        <f t="shared" si="73"/>
        <v>65</v>
      </c>
      <c r="H88">
        <f t="shared" si="74"/>
        <v>195</v>
      </c>
      <c r="I88" s="27">
        <f t="shared" si="78"/>
        <v>0.89583333333333226</v>
      </c>
      <c r="J88" t="s">
        <v>1612</v>
      </c>
      <c r="K88" s="28">
        <f>Ticketsys!F88</f>
        <v>3.2847222222222276</v>
      </c>
      <c r="L88" s="27">
        <f t="shared" si="75"/>
        <v>4.1805555555555598</v>
      </c>
      <c r="M88">
        <f t="shared" si="79"/>
        <v>639</v>
      </c>
      <c r="N88" t="str">
        <f t="shared" si="76"/>
        <v>C639639</v>
      </c>
      <c r="O88" t="s">
        <v>1449</v>
      </c>
    </row>
    <row r="89" spans="1:15">
      <c r="A89" t="s">
        <v>1240</v>
      </c>
      <c r="B89" t="s">
        <v>1450</v>
      </c>
      <c r="C89" s="25" t="str">
        <f t="shared" ref="C89:C120" si="100">CONCATENATE("Airbus","A220")</f>
        <v>AirbusA220</v>
      </c>
      <c r="D89" t="str">
        <f>IF(Ticketsys!D89=CONCATENATE("long","-","haul"," ","flights"),"YES","NO")</f>
        <v>NO</v>
      </c>
      <c r="E89">
        <f t="shared" si="71"/>
        <v>135</v>
      </c>
      <c r="F89">
        <f t="shared" si="72"/>
        <v>27</v>
      </c>
      <c r="G89">
        <f t="shared" si="73"/>
        <v>27</v>
      </c>
      <c r="H89">
        <f t="shared" si="74"/>
        <v>81</v>
      </c>
      <c r="I89" s="27">
        <f t="shared" si="78"/>
        <v>0.90624999999999889</v>
      </c>
      <c r="J89" t="s">
        <v>1614</v>
      </c>
      <c r="K89" s="28">
        <f>Ticketsys!F89</f>
        <v>3.3229166666666723</v>
      </c>
      <c r="L89" s="27">
        <f t="shared" si="75"/>
        <v>4.2291666666666714</v>
      </c>
      <c r="M89">
        <f t="shared" si="79"/>
        <v>645</v>
      </c>
      <c r="N89" t="str">
        <f t="shared" si="76"/>
        <v>A645645</v>
      </c>
      <c r="O89" t="s">
        <v>1450</v>
      </c>
    </row>
    <row r="90" spans="1:15">
      <c r="A90" t="s">
        <v>1241</v>
      </c>
      <c r="B90" t="s">
        <v>1451</v>
      </c>
      <c r="C90" s="25" t="str">
        <f t="shared" ref="C90:C121" si="101">CONCATENATE("Airbus","A320")</f>
        <v>AirbusA320</v>
      </c>
      <c r="D90" t="str">
        <f>IF(Ticketsys!D90=CONCATENATE("long","-","haul"," ","flights"),"YES","NO")</f>
        <v>NO</v>
      </c>
      <c r="E90">
        <f t="shared" si="71"/>
        <v>150</v>
      </c>
      <c r="F90">
        <f t="shared" si="72"/>
        <v>30</v>
      </c>
      <c r="G90">
        <f t="shared" si="73"/>
        <v>30</v>
      </c>
      <c r="H90">
        <f t="shared" si="74"/>
        <v>90</v>
      </c>
      <c r="I90" s="27">
        <f t="shared" si="78"/>
        <v>0.91666666666666552</v>
      </c>
      <c r="J90" t="s">
        <v>1612</v>
      </c>
      <c r="K90" s="28">
        <f>Ticketsys!F90</f>
        <v>3.3611111111111169</v>
      </c>
      <c r="L90" s="27">
        <f t="shared" si="75"/>
        <v>4.2777777777777821</v>
      </c>
      <c r="M90">
        <f t="shared" si="79"/>
        <v>651</v>
      </c>
      <c r="N90" t="str">
        <f t="shared" si="76"/>
        <v>B651651</v>
      </c>
      <c r="O90" t="s">
        <v>1451</v>
      </c>
    </row>
    <row r="91" spans="1:15">
      <c r="A91" t="s">
        <v>1242</v>
      </c>
      <c r="B91" t="s">
        <v>1452</v>
      </c>
      <c r="C91" s="25" t="str">
        <f t="shared" ref="C91:C122" si="102">CONCATENATE("Airbus","A350")</f>
        <v>AirbusA350</v>
      </c>
      <c r="D91" t="str">
        <f>IF(Ticketsys!D91=CONCATENATE("long","-","haul"," ","flights"),"YES","NO")</f>
        <v>NO</v>
      </c>
      <c r="E91">
        <f t="shared" si="71"/>
        <v>325</v>
      </c>
      <c r="F91">
        <f t="shared" si="72"/>
        <v>65</v>
      </c>
      <c r="G91">
        <f t="shared" si="73"/>
        <v>65</v>
      </c>
      <c r="H91">
        <f t="shared" si="74"/>
        <v>195</v>
      </c>
      <c r="I91" s="27">
        <f t="shared" si="78"/>
        <v>0.92708333333333215</v>
      </c>
      <c r="J91" t="s">
        <v>1612</v>
      </c>
      <c r="K91" s="28">
        <f>Ticketsys!F91</f>
        <v>3.3993055555555616</v>
      </c>
      <c r="L91" s="27">
        <f t="shared" si="75"/>
        <v>4.3263888888888937</v>
      </c>
      <c r="M91">
        <f t="shared" si="79"/>
        <v>657</v>
      </c>
      <c r="N91" t="str">
        <f t="shared" si="76"/>
        <v>C657657</v>
      </c>
      <c r="O91" t="s">
        <v>1452</v>
      </c>
    </row>
    <row r="92" spans="1:15">
      <c r="A92" t="s">
        <v>1243</v>
      </c>
      <c r="B92" t="s">
        <v>1453</v>
      </c>
      <c r="C92" s="25" t="str">
        <f t="shared" ref="C92:C123" si="103">CONCATENATE("Airbus","A220")</f>
        <v>AirbusA220</v>
      </c>
      <c r="D92" t="str">
        <f>IF(Ticketsys!D92=CONCATENATE("long","-","haul"," ","flights"),"YES","NO")</f>
        <v>NO</v>
      </c>
      <c r="E92">
        <f t="shared" si="71"/>
        <v>135</v>
      </c>
      <c r="F92">
        <f t="shared" si="72"/>
        <v>27</v>
      </c>
      <c r="G92">
        <f t="shared" si="73"/>
        <v>27</v>
      </c>
      <c r="H92">
        <f t="shared" si="74"/>
        <v>81</v>
      </c>
      <c r="I92" s="27">
        <f t="shared" si="78"/>
        <v>0.93749999999999878</v>
      </c>
      <c r="J92" t="s">
        <v>1614</v>
      </c>
      <c r="K92" s="28">
        <f>Ticketsys!F92</f>
        <v>3.4375000000000062</v>
      </c>
      <c r="L92" s="27">
        <f t="shared" si="75"/>
        <v>4.3750000000000053</v>
      </c>
      <c r="M92">
        <f t="shared" si="79"/>
        <v>663</v>
      </c>
      <c r="N92" t="str">
        <f t="shared" si="76"/>
        <v>A663663</v>
      </c>
      <c r="O92" t="s">
        <v>1453</v>
      </c>
    </row>
    <row r="93" spans="1:15">
      <c r="A93" t="s">
        <v>1244</v>
      </c>
      <c r="B93" t="s">
        <v>1454</v>
      </c>
      <c r="C93" s="25" t="str">
        <f t="shared" ref="C93:C124" si="104">CONCATENATE("Airbus","A320")</f>
        <v>AirbusA320</v>
      </c>
      <c r="D93" t="str">
        <f>IF(Ticketsys!D93=CONCATENATE("long","-","haul"," ","flights"),"YES","NO")</f>
        <v>NO</v>
      </c>
      <c r="E93">
        <f t="shared" si="71"/>
        <v>150</v>
      </c>
      <c r="F93">
        <f t="shared" si="72"/>
        <v>30</v>
      </c>
      <c r="G93">
        <f t="shared" si="73"/>
        <v>30</v>
      </c>
      <c r="H93">
        <f t="shared" si="74"/>
        <v>90</v>
      </c>
      <c r="I93" s="27">
        <f t="shared" si="78"/>
        <v>0.94791666666666541</v>
      </c>
      <c r="J93" t="s">
        <v>1613</v>
      </c>
      <c r="K93" s="28">
        <f>Ticketsys!F93</f>
        <v>3.4756944444444509</v>
      </c>
      <c r="L93" s="27">
        <f t="shared" si="75"/>
        <v>4.423611111111116</v>
      </c>
      <c r="M93">
        <f t="shared" si="79"/>
        <v>669</v>
      </c>
      <c r="N93" t="str">
        <f t="shared" si="76"/>
        <v>B669669</v>
      </c>
      <c r="O93" t="s">
        <v>1454</v>
      </c>
    </row>
    <row r="94" spans="1:15">
      <c r="A94" t="s">
        <v>1245</v>
      </c>
      <c r="B94" t="s">
        <v>1455</v>
      </c>
      <c r="C94" s="25" t="str">
        <f t="shared" ref="C94:C125" si="105">CONCATENATE("Airbus","A350")</f>
        <v>AirbusA350</v>
      </c>
      <c r="D94" t="str">
        <f>IF(Ticketsys!D94=CONCATENATE("long","-","haul"," ","flights"),"YES","NO")</f>
        <v>NO</v>
      </c>
      <c r="E94">
        <f t="shared" si="71"/>
        <v>325</v>
      </c>
      <c r="F94">
        <f t="shared" si="72"/>
        <v>65</v>
      </c>
      <c r="G94">
        <f t="shared" si="73"/>
        <v>65</v>
      </c>
      <c r="H94">
        <f t="shared" si="74"/>
        <v>195</v>
      </c>
      <c r="I94" s="27">
        <f t="shared" si="78"/>
        <v>0.95833333333333204</v>
      </c>
      <c r="J94" t="s">
        <v>1612</v>
      </c>
      <c r="K94" s="28">
        <f>Ticketsys!F94</f>
        <v>3.5138888888888955</v>
      </c>
      <c r="L94" s="27">
        <f t="shared" si="75"/>
        <v>4.4722222222222276</v>
      </c>
      <c r="M94">
        <f t="shared" si="79"/>
        <v>675</v>
      </c>
      <c r="N94" t="str">
        <f t="shared" si="76"/>
        <v>C675675</v>
      </c>
      <c r="O94" t="s">
        <v>1455</v>
      </c>
    </row>
    <row r="95" spans="1:15">
      <c r="A95" t="s">
        <v>1246</v>
      </c>
      <c r="B95" t="s">
        <v>1456</v>
      </c>
      <c r="C95" s="25" t="str">
        <f t="shared" ref="C95:C126" si="106">CONCATENATE("Airbus","A220")</f>
        <v>AirbusA220</v>
      </c>
      <c r="D95" t="str">
        <f>IF(Ticketsys!D95=CONCATENATE("long","-","haul"," ","flights"),"YES","NO")</f>
        <v>NO</v>
      </c>
      <c r="E95">
        <f t="shared" si="71"/>
        <v>135</v>
      </c>
      <c r="F95">
        <f t="shared" si="72"/>
        <v>27</v>
      </c>
      <c r="G95">
        <f t="shared" si="73"/>
        <v>27</v>
      </c>
      <c r="H95">
        <f t="shared" si="74"/>
        <v>81</v>
      </c>
      <c r="I95" s="27">
        <f t="shared" si="78"/>
        <v>0.96874999999999867</v>
      </c>
      <c r="J95" t="s">
        <v>1613</v>
      </c>
      <c r="K95" s="28">
        <f>Ticketsys!F95</f>
        <v>3.5520833333333401</v>
      </c>
      <c r="L95" s="27">
        <f t="shared" si="75"/>
        <v>4.5208333333333393</v>
      </c>
      <c r="M95">
        <f t="shared" si="79"/>
        <v>681</v>
      </c>
      <c r="N95" t="str">
        <f t="shared" si="76"/>
        <v>D681681</v>
      </c>
      <c r="O95" t="s">
        <v>1456</v>
      </c>
    </row>
    <row r="96" spans="1:15">
      <c r="A96" t="s">
        <v>1247</v>
      </c>
      <c r="B96" t="s">
        <v>1457</v>
      </c>
      <c r="C96" s="25" t="str">
        <f t="shared" ref="C96:C127" si="107">CONCATENATE("Airbus","A320")</f>
        <v>AirbusA320</v>
      </c>
      <c r="D96" t="str">
        <f>IF(Ticketsys!D96=CONCATENATE("long","-","haul"," ","flights"),"YES","NO")</f>
        <v>NO</v>
      </c>
      <c r="E96">
        <f t="shared" si="71"/>
        <v>150</v>
      </c>
      <c r="F96">
        <f t="shared" si="72"/>
        <v>30</v>
      </c>
      <c r="G96">
        <f t="shared" si="73"/>
        <v>30</v>
      </c>
      <c r="H96">
        <f t="shared" si="74"/>
        <v>90</v>
      </c>
      <c r="I96" s="27">
        <f t="shared" si="78"/>
        <v>0.9791666666666653</v>
      </c>
      <c r="J96" t="s">
        <v>1612</v>
      </c>
      <c r="K96" s="28">
        <f>Ticketsys!F96</f>
        <v>3.5902777777777848</v>
      </c>
      <c r="L96" s="27">
        <f t="shared" si="75"/>
        <v>4.56944444444445</v>
      </c>
      <c r="M96">
        <f t="shared" si="79"/>
        <v>687</v>
      </c>
      <c r="N96" t="str">
        <f t="shared" si="76"/>
        <v>E687687</v>
      </c>
      <c r="O96" t="s">
        <v>1457</v>
      </c>
    </row>
    <row r="97" spans="1:15">
      <c r="A97" t="s">
        <v>1248</v>
      </c>
      <c r="B97" t="s">
        <v>1458</v>
      </c>
      <c r="C97" s="25" t="str">
        <f t="shared" ref="C97:C128" si="108">CONCATENATE("Airbus","A350")</f>
        <v>AirbusA350</v>
      </c>
      <c r="D97" t="str">
        <f>IF(Ticketsys!D97=CONCATENATE("long","-","haul"," ","flights"),"YES","NO")</f>
        <v>NO</v>
      </c>
      <c r="E97">
        <f t="shared" si="71"/>
        <v>325</v>
      </c>
      <c r="F97">
        <f t="shared" si="72"/>
        <v>65</v>
      </c>
      <c r="G97">
        <f t="shared" si="73"/>
        <v>65</v>
      </c>
      <c r="H97">
        <f t="shared" si="74"/>
        <v>195</v>
      </c>
      <c r="I97" s="27">
        <f t="shared" si="78"/>
        <v>0.98958333333333193</v>
      </c>
      <c r="J97" t="s">
        <v>1614</v>
      </c>
      <c r="K97" s="28">
        <f>Ticketsys!F97</f>
        <v>3.6284722222222294</v>
      </c>
      <c r="L97" s="27">
        <f t="shared" si="75"/>
        <v>4.6180555555555616</v>
      </c>
      <c r="M97">
        <f t="shared" si="79"/>
        <v>693</v>
      </c>
      <c r="N97" t="str">
        <f t="shared" si="76"/>
        <v>C693693</v>
      </c>
      <c r="O97" t="s">
        <v>1458</v>
      </c>
    </row>
    <row r="98" spans="1:15">
      <c r="A98" t="s">
        <v>1249</v>
      </c>
      <c r="B98" t="s">
        <v>1459</v>
      </c>
      <c r="C98" s="25" t="str">
        <f t="shared" ref="C98:C129" si="109">CONCATENATE("Airbus","A220")</f>
        <v>AirbusA220</v>
      </c>
      <c r="D98" t="str">
        <f>IF(Ticketsys!D98=CONCATENATE("long","-","haul"," ","flights"),"YES","NO")</f>
        <v>NO</v>
      </c>
      <c r="E98">
        <f t="shared" si="71"/>
        <v>135</v>
      </c>
      <c r="F98">
        <f t="shared" si="72"/>
        <v>27</v>
      </c>
      <c r="G98">
        <f t="shared" si="73"/>
        <v>27</v>
      </c>
      <c r="H98">
        <f t="shared" si="74"/>
        <v>81</v>
      </c>
      <c r="I98" s="27">
        <f t="shared" si="78"/>
        <v>0.99999999999999856</v>
      </c>
      <c r="J98" t="s">
        <v>1614</v>
      </c>
      <c r="K98" s="28">
        <f>Ticketsys!F98</f>
        <v>3.6666666666666741</v>
      </c>
      <c r="L98" s="27">
        <f t="shared" si="75"/>
        <v>4.6666666666666723</v>
      </c>
      <c r="M98">
        <f t="shared" si="79"/>
        <v>699</v>
      </c>
      <c r="N98" t="str">
        <f t="shared" si="76"/>
        <v>A699699</v>
      </c>
      <c r="O98" t="s">
        <v>1459</v>
      </c>
    </row>
    <row r="99" spans="1:15">
      <c r="A99" t="s">
        <v>1250</v>
      </c>
      <c r="B99" t="s">
        <v>1460</v>
      </c>
      <c r="C99" s="25" t="str">
        <f t="shared" ref="C99:C130" si="110">CONCATENATE("Airbus","A320")</f>
        <v>AirbusA320</v>
      </c>
      <c r="D99" t="str">
        <f>IF(Ticketsys!D99=CONCATENATE("long","-","haul"," ","flights"),"YES","NO")</f>
        <v>NO</v>
      </c>
      <c r="E99">
        <f t="shared" si="71"/>
        <v>150</v>
      </c>
      <c r="F99">
        <f t="shared" si="72"/>
        <v>30</v>
      </c>
      <c r="G99">
        <f t="shared" si="73"/>
        <v>30</v>
      </c>
      <c r="H99">
        <f t="shared" si="74"/>
        <v>90</v>
      </c>
      <c r="I99" s="27">
        <f t="shared" si="78"/>
        <v>1.0104166666666652</v>
      </c>
      <c r="J99" t="s">
        <v>1614</v>
      </c>
      <c r="K99" s="28">
        <f>Ticketsys!F99</f>
        <v>3.7048611111111187</v>
      </c>
      <c r="L99" s="27">
        <f t="shared" si="75"/>
        <v>4.7152777777777839</v>
      </c>
      <c r="M99">
        <f t="shared" si="79"/>
        <v>705</v>
      </c>
      <c r="N99" t="str">
        <f t="shared" si="76"/>
        <v>B705705</v>
      </c>
      <c r="O99" t="s">
        <v>1460</v>
      </c>
    </row>
    <row r="100" spans="1:15">
      <c r="A100" t="s">
        <v>1251</v>
      </c>
      <c r="B100" t="s">
        <v>1461</v>
      </c>
      <c r="C100" s="25" t="str">
        <f t="shared" ref="C100:C131" si="111">CONCATENATE("Airbus","A350")</f>
        <v>AirbusA350</v>
      </c>
      <c r="D100" t="str">
        <f>IF(Ticketsys!D100=CONCATENATE("long","-","haul"," ","flights"),"YES","NO")</f>
        <v>NO</v>
      </c>
      <c r="E100">
        <f t="shared" si="71"/>
        <v>325</v>
      </c>
      <c r="F100">
        <f t="shared" si="72"/>
        <v>65</v>
      </c>
      <c r="G100">
        <f t="shared" si="73"/>
        <v>65</v>
      </c>
      <c r="H100">
        <f t="shared" si="74"/>
        <v>195</v>
      </c>
      <c r="I100" s="27">
        <f t="shared" si="78"/>
        <v>1.0208333333333319</v>
      </c>
      <c r="J100" t="s">
        <v>1614</v>
      </c>
      <c r="K100" s="28">
        <f>Ticketsys!F100</f>
        <v>3.7430555555555634</v>
      </c>
      <c r="L100" s="27">
        <f t="shared" si="75"/>
        <v>4.7638888888888955</v>
      </c>
      <c r="M100">
        <f t="shared" si="79"/>
        <v>711</v>
      </c>
      <c r="N100" t="str">
        <f t="shared" si="76"/>
        <v>C711711</v>
      </c>
      <c r="O100" t="s">
        <v>1461</v>
      </c>
    </row>
    <row r="101" spans="1:15">
      <c r="A101" t="s">
        <v>1252</v>
      </c>
      <c r="B101" t="s">
        <v>1462</v>
      </c>
      <c r="C101" s="25" t="str">
        <f t="shared" ref="C101:C132" si="112">CONCATENATE("Airbus","A220")</f>
        <v>AirbusA220</v>
      </c>
      <c r="D101" t="str">
        <f>IF(Ticketsys!D101=CONCATENATE("long","-","haul"," ","flights"),"YES","NO")</f>
        <v>NO</v>
      </c>
      <c r="E101">
        <f t="shared" si="71"/>
        <v>135</v>
      </c>
      <c r="F101">
        <f t="shared" si="72"/>
        <v>27</v>
      </c>
      <c r="G101">
        <f t="shared" si="73"/>
        <v>27</v>
      </c>
      <c r="H101">
        <f t="shared" si="74"/>
        <v>81</v>
      </c>
      <c r="I101" s="27">
        <f t="shared" si="78"/>
        <v>1.0312499999999987</v>
      </c>
      <c r="J101" t="s">
        <v>1614</v>
      </c>
      <c r="K101" s="28">
        <f>Ticketsys!F101</f>
        <v>3.781250000000008</v>
      </c>
      <c r="L101" s="27">
        <f t="shared" si="75"/>
        <v>4.8125000000000071</v>
      </c>
      <c r="M101">
        <f t="shared" si="79"/>
        <v>717</v>
      </c>
      <c r="N101" t="str">
        <f t="shared" si="76"/>
        <v>A717717</v>
      </c>
      <c r="O101" t="s">
        <v>1462</v>
      </c>
    </row>
    <row r="102" spans="1:15">
      <c r="A102" t="s">
        <v>1253</v>
      </c>
      <c r="B102" t="s">
        <v>1463</v>
      </c>
      <c r="C102" s="25" t="str">
        <f t="shared" ref="C102:C133" si="113">CONCATENATE("Airbus","A320")</f>
        <v>AirbusA320</v>
      </c>
      <c r="D102" t="str">
        <f>IF(Ticketsys!D102=CONCATENATE("long","-","haul"," ","flights"),"YES","NO")</f>
        <v>NO</v>
      </c>
      <c r="E102">
        <f t="shared" si="71"/>
        <v>150</v>
      </c>
      <c r="F102">
        <f t="shared" si="72"/>
        <v>30</v>
      </c>
      <c r="G102">
        <f t="shared" si="73"/>
        <v>30</v>
      </c>
      <c r="H102">
        <f t="shared" si="74"/>
        <v>90</v>
      </c>
      <c r="I102" s="27">
        <f t="shared" si="78"/>
        <v>1.0416666666666654</v>
      </c>
      <c r="J102" t="s">
        <v>1612</v>
      </c>
      <c r="K102" s="28">
        <f>Ticketsys!F102</f>
        <v>3.8194444444444526</v>
      </c>
      <c r="L102" s="27">
        <f t="shared" si="75"/>
        <v>4.8611111111111178</v>
      </c>
      <c r="M102">
        <f t="shared" si="79"/>
        <v>723</v>
      </c>
      <c r="N102" t="str">
        <f t="shared" si="76"/>
        <v>B723723</v>
      </c>
      <c r="O102" t="s">
        <v>1463</v>
      </c>
    </row>
    <row r="103" spans="1:15">
      <c r="A103" t="s">
        <v>1254</v>
      </c>
      <c r="B103" t="s">
        <v>1464</v>
      </c>
      <c r="C103" s="25" t="str">
        <f t="shared" ref="C103:C134" si="114">CONCATENATE("Airbus","A350")</f>
        <v>AirbusA350</v>
      </c>
      <c r="D103" t="str">
        <f>IF(Ticketsys!D103=CONCATENATE("long","-","haul"," ","flights"),"YES","NO")</f>
        <v>NO</v>
      </c>
      <c r="E103">
        <f t="shared" si="71"/>
        <v>325</v>
      </c>
      <c r="F103">
        <f t="shared" si="72"/>
        <v>65</v>
      </c>
      <c r="G103">
        <f t="shared" si="73"/>
        <v>65</v>
      </c>
      <c r="H103">
        <f t="shared" si="74"/>
        <v>195</v>
      </c>
      <c r="I103" s="27">
        <f t="shared" si="78"/>
        <v>1.0520833333333321</v>
      </c>
      <c r="J103" t="s">
        <v>1614</v>
      </c>
      <c r="K103" s="28">
        <f>Ticketsys!F103</f>
        <v>3.8576388888888973</v>
      </c>
      <c r="L103" s="27">
        <f t="shared" si="75"/>
        <v>4.9097222222222294</v>
      </c>
      <c r="M103">
        <f t="shared" si="79"/>
        <v>729</v>
      </c>
      <c r="N103" t="str">
        <f t="shared" si="76"/>
        <v>C729729</v>
      </c>
      <c r="O103" t="s">
        <v>1464</v>
      </c>
    </row>
    <row r="104" spans="1:15">
      <c r="A104" t="s">
        <v>1255</v>
      </c>
      <c r="B104" t="s">
        <v>1465</v>
      </c>
      <c r="C104" s="25" t="str">
        <f t="shared" ref="C104:C135" si="115">CONCATENATE("Airbus","A220")</f>
        <v>AirbusA220</v>
      </c>
      <c r="D104" t="str">
        <f>IF(Ticketsys!D104=CONCATENATE("long","-","haul"," ","flights"),"YES","NO")</f>
        <v>NO</v>
      </c>
      <c r="E104">
        <f t="shared" si="71"/>
        <v>135</v>
      </c>
      <c r="F104">
        <f t="shared" si="72"/>
        <v>27</v>
      </c>
      <c r="G104">
        <f t="shared" si="73"/>
        <v>27</v>
      </c>
      <c r="H104">
        <f t="shared" si="74"/>
        <v>81</v>
      </c>
      <c r="I104" s="27">
        <f t="shared" si="78"/>
        <v>1.0624999999999989</v>
      </c>
      <c r="J104" t="s">
        <v>1612</v>
      </c>
      <c r="K104" s="28">
        <f>Ticketsys!F104</f>
        <v>3.8958333333333419</v>
      </c>
      <c r="L104" s="27">
        <f t="shared" si="75"/>
        <v>4.958333333333341</v>
      </c>
      <c r="M104">
        <f t="shared" si="79"/>
        <v>735</v>
      </c>
      <c r="N104" t="str">
        <f t="shared" si="76"/>
        <v>D735735</v>
      </c>
      <c r="O104" t="s">
        <v>1465</v>
      </c>
    </row>
    <row r="105" spans="1:15">
      <c r="A105" t="s">
        <v>1256</v>
      </c>
      <c r="B105" t="s">
        <v>1466</v>
      </c>
      <c r="C105" s="25" t="str">
        <f t="shared" ref="C105:C136" si="116">CONCATENATE("Airbus","A320")</f>
        <v>AirbusA320</v>
      </c>
      <c r="D105" t="str">
        <f>IF(Ticketsys!D105=CONCATENATE("long","-","haul"," ","flights"),"YES","NO")</f>
        <v>NO</v>
      </c>
      <c r="E105">
        <f t="shared" si="71"/>
        <v>150</v>
      </c>
      <c r="F105">
        <f t="shared" si="72"/>
        <v>30</v>
      </c>
      <c r="G105">
        <f t="shared" si="73"/>
        <v>30</v>
      </c>
      <c r="H105">
        <f t="shared" si="74"/>
        <v>90</v>
      </c>
      <c r="I105" s="27">
        <f t="shared" si="78"/>
        <v>1.0729166666666656</v>
      </c>
      <c r="J105" t="s">
        <v>1612</v>
      </c>
      <c r="K105" s="28">
        <f>Ticketsys!F105</f>
        <v>3.9340277777777866</v>
      </c>
      <c r="L105" s="27">
        <f t="shared" si="75"/>
        <v>5.0069444444444517</v>
      </c>
      <c r="M105">
        <f t="shared" si="79"/>
        <v>741</v>
      </c>
      <c r="N105" t="str">
        <f t="shared" si="76"/>
        <v>E741741</v>
      </c>
      <c r="O105" t="s">
        <v>1466</v>
      </c>
    </row>
    <row r="106" spans="1:15">
      <c r="A106" t="s">
        <v>1257</v>
      </c>
      <c r="B106" t="s">
        <v>1467</v>
      </c>
      <c r="C106" s="25" t="str">
        <f t="shared" ref="C106:C137" si="117">CONCATENATE("Airbus","A350")</f>
        <v>AirbusA350</v>
      </c>
      <c r="D106" t="str">
        <f>IF(Ticketsys!D106=CONCATENATE("long","-","haul"," ","flights"),"YES","NO")</f>
        <v>NO</v>
      </c>
      <c r="E106">
        <f t="shared" si="71"/>
        <v>325</v>
      </c>
      <c r="F106">
        <f t="shared" si="72"/>
        <v>65</v>
      </c>
      <c r="G106">
        <f t="shared" si="73"/>
        <v>65</v>
      </c>
      <c r="H106">
        <f t="shared" si="74"/>
        <v>195</v>
      </c>
      <c r="I106" s="27">
        <f t="shared" si="78"/>
        <v>1.0833333333333324</v>
      </c>
      <c r="J106" t="s">
        <v>1614</v>
      </c>
      <c r="K106" s="28">
        <f>Ticketsys!F106</f>
        <v>3.9722222222222312</v>
      </c>
      <c r="L106" s="27">
        <f t="shared" si="75"/>
        <v>5.0555555555555634</v>
      </c>
      <c r="M106">
        <f t="shared" si="79"/>
        <v>747</v>
      </c>
      <c r="N106" t="str">
        <f t="shared" si="76"/>
        <v>C747747</v>
      </c>
      <c r="O106" t="s">
        <v>1467</v>
      </c>
    </row>
    <row r="107" spans="1:15">
      <c r="A107" t="s">
        <v>1258</v>
      </c>
      <c r="B107" t="s">
        <v>1468</v>
      </c>
      <c r="C107" s="25" t="str">
        <f t="shared" ref="C107:C138" si="118">CONCATENATE("Airbus","A220")</f>
        <v>AirbusA220</v>
      </c>
      <c r="D107" t="str">
        <f>IF(Ticketsys!D107=CONCATENATE("long","-","haul"," ","flights"),"YES","NO")</f>
        <v>NO</v>
      </c>
      <c r="E107">
        <f t="shared" si="71"/>
        <v>135</v>
      </c>
      <c r="F107">
        <f t="shared" si="72"/>
        <v>27</v>
      </c>
      <c r="G107">
        <f t="shared" si="73"/>
        <v>27</v>
      </c>
      <c r="H107">
        <f t="shared" si="74"/>
        <v>81</v>
      </c>
      <c r="I107" s="27">
        <f t="shared" si="78"/>
        <v>1.0937499999999991</v>
      </c>
      <c r="J107" t="s">
        <v>1614</v>
      </c>
      <c r="K107" s="28">
        <f>Ticketsys!F107</f>
        <v>4.0104166666666758</v>
      </c>
      <c r="L107" s="27">
        <f t="shared" si="75"/>
        <v>5.104166666666675</v>
      </c>
      <c r="M107">
        <f t="shared" si="79"/>
        <v>753</v>
      </c>
      <c r="N107" t="str">
        <f t="shared" si="76"/>
        <v>A753753</v>
      </c>
      <c r="O107" t="s">
        <v>1468</v>
      </c>
    </row>
    <row r="108" spans="1:15">
      <c r="A108" t="s">
        <v>1259</v>
      </c>
      <c r="B108" t="s">
        <v>1469</v>
      </c>
      <c r="C108" s="25" t="str">
        <f t="shared" ref="C108:C139" si="119">CONCATENATE("Airbus","A320")</f>
        <v>AirbusA320</v>
      </c>
      <c r="D108" t="str">
        <f>IF(Ticketsys!D108=CONCATENATE("long","-","haul"," ","flights"),"YES","NO")</f>
        <v>NO</v>
      </c>
      <c r="E108">
        <f t="shared" si="71"/>
        <v>150</v>
      </c>
      <c r="F108">
        <f t="shared" si="72"/>
        <v>30</v>
      </c>
      <c r="G108">
        <f t="shared" si="73"/>
        <v>30</v>
      </c>
      <c r="H108">
        <f t="shared" si="74"/>
        <v>90</v>
      </c>
      <c r="I108" s="27">
        <f t="shared" si="78"/>
        <v>1.1041666666666659</v>
      </c>
      <c r="J108" t="s">
        <v>1614</v>
      </c>
      <c r="K108" s="28">
        <f>Ticketsys!F108</f>
        <v>4.0486111111111205</v>
      </c>
      <c r="L108" s="27">
        <f t="shared" si="75"/>
        <v>5.1527777777777866</v>
      </c>
      <c r="M108">
        <f t="shared" si="79"/>
        <v>759</v>
      </c>
      <c r="N108" t="str">
        <f t="shared" si="76"/>
        <v>B759759</v>
      </c>
      <c r="O108" t="s">
        <v>1469</v>
      </c>
    </row>
    <row r="109" spans="1:15">
      <c r="A109" t="s">
        <v>1260</v>
      </c>
      <c r="B109" t="s">
        <v>1470</v>
      </c>
      <c r="C109" s="25" t="str">
        <f t="shared" ref="C109:C140" si="120">CONCATENATE("Airbus","A350")</f>
        <v>AirbusA350</v>
      </c>
      <c r="D109" t="str">
        <f>IF(Ticketsys!D109=CONCATENATE("long","-","haul"," ","flights"),"YES","NO")</f>
        <v>NO</v>
      </c>
      <c r="E109">
        <f t="shared" si="71"/>
        <v>325</v>
      </c>
      <c r="F109">
        <f t="shared" si="72"/>
        <v>65</v>
      </c>
      <c r="G109">
        <f t="shared" si="73"/>
        <v>65</v>
      </c>
      <c r="H109">
        <f t="shared" si="74"/>
        <v>195</v>
      </c>
      <c r="I109" s="27">
        <f t="shared" si="78"/>
        <v>1.1145833333333326</v>
      </c>
      <c r="J109" t="s">
        <v>1614</v>
      </c>
      <c r="K109" s="28">
        <f>Ticketsys!F109</f>
        <v>4.0868055555555651</v>
      </c>
      <c r="L109" s="27">
        <f t="shared" si="75"/>
        <v>5.2013888888888982</v>
      </c>
      <c r="M109">
        <f t="shared" si="79"/>
        <v>765</v>
      </c>
      <c r="N109" t="str">
        <f t="shared" si="76"/>
        <v>C765765</v>
      </c>
      <c r="O109" t="s">
        <v>1470</v>
      </c>
    </row>
    <row r="110" spans="1:15">
      <c r="A110" t="s">
        <v>1261</v>
      </c>
      <c r="B110" t="s">
        <v>1471</v>
      </c>
      <c r="C110" s="25" t="str">
        <f t="shared" ref="C110:C141" si="121">CONCATENATE("Airbus","A220")</f>
        <v>AirbusA220</v>
      </c>
      <c r="D110" t="str">
        <f>IF(Ticketsys!D110=CONCATENATE("long","-","haul"," ","flights"),"YES","NO")</f>
        <v>NO</v>
      </c>
      <c r="E110">
        <f t="shared" si="71"/>
        <v>135</v>
      </c>
      <c r="F110">
        <f t="shared" si="72"/>
        <v>27</v>
      </c>
      <c r="G110">
        <f t="shared" si="73"/>
        <v>27</v>
      </c>
      <c r="H110">
        <f t="shared" si="74"/>
        <v>81</v>
      </c>
      <c r="I110" s="27">
        <f t="shared" si="78"/>
        <v>1.1249999999999993</v>
      </c>
      <c r="J110" t="s">
        <v>1614</v>
      </c>
      <c r="K110" s="28">
        <f>Ticketsys!F110</f>
        <v>4.1250000000000098</v>
      </c>
      <c r="L110" s="27">
        <f t="shared" si="75"/>
        <v>5.2500000000000089</v>
      </c>
      <c r="M110">
        <f t="shared" si="79"/>
        <v>771</v>
      </c>
      <c r="N110" t="str">
        <f t="shared" si="76"/>
        <v>A771771</v>
      </c>
      <c r="O110" t="s">
        <v>1471</v>
      </c>
    </row>
    <row r="111" spans="1:15">
      <c r="A111" t="s">
        <v>1262</v>
      </c>
      <c r="B111" t="s">
        <v>1472</v>
      </c>
      <c r="C111" s="25" t="str">
        <f t="shared" ref="C111:C142" si="122">CONCATENATE("Airbus","A320")</f>
        <v>AirbusA320</v>
      </c>
      <c r="D111" t="str">
        <f>IF(Ticketsys!D111=CONCATENATE("long","-","haul"," ","flights"),"YES","NO")</f>
        <v>NO</v>
      </c>
      <c r="E111">
        <f t="shared" si="71"/>
        <v>150</v>
      </c>
      <c r="F111">
        <f t="shared" si="72"/>
        <v>30</v>
      </c>
      <c r="G111">
        <f t="shared" si="73"/>
        <v>30</v>
      </c>
      <c r="H111">
        <f t="shared" si="74"/>
        <v>90</v>
      </c>
      <c r="I111" s="27">
        <f t="shared" si="78"/>
        <v>1.1354166666666661</v>
      </c>
      <c r="J111" t="s">
        <v>1614</v>
      </c>
      <c r="K111" s="28">
        <f>Ticketsys!F111</f>
        <v>4.1631944444444544</v>
      </c>
      <c r="L111" s="27">
        <f t="shared" si="75"/>
        <v>5.2986111111111205</v>
      </c>
      <c r="M111">
        <f t="shared" si="79"/>
        <v>777</v>
      </c>
      <c r="N111" t="str">
        <f t="shared" si="76"/>
        <v>B777777</v>
      </c>
      <c r="O111" t="s">
        <v>1472</v>
      </c>
    </row>
    <row r="112" spans="1:15">
      <c r="A112" t="s">
        <v>1263</v>
      </c>
      <c r="B112" t="s">
        <v>1473</v>
      </c>
      <c r="C112" s="25" t="str">
        <f t="shared" ref="C112:C143" si="123">CONCATENATE("Airbus","A350")</f>
        <v>AirbusA350</v>
      </c>
      <c r="D112" t="str">
        <f>IF(Ticketsys!D112=CONCATENATE("long","-","haul"," ","flights"),"YES","NO")</f>
        <v>NO</v>
      </c>
      <c r="E112">
        <f t="shared" si="71"/>
        <v>325</v>
      </c>
      <c r="F112">
        <f t="shared" si="72"/>
        <v>65</v>
      </c>
      <c r="G112">
        <f t="shared" si="73"/>
        <v>65</v>
      </c>
      <c r="H112">
        <f t="shared" si="74"/>
        <v>195</v>
      </c>
      <c r="I112" s="27">
        <f t="shared" si="78"/>
        <v>1.1458333333333328</v>
      </c>
      <c r="J112" t="s">
        <v>1613</v>
      </c>
      <c r="K112" s="28">
        <f>Ticketsys!F112</f>
        <v>4.2013888888888991</v>
      </c>
      <c r="L112" s="27">
        <f t="shared" si="75"/>
        <v>5.3472222222222321</v>
      </c>
      <c r="M112">
        <f t="shared" si="79"/>
        <v>783</v>
      </c>
      <c r="N112" t="str">
        <f t="shared" si="76"/>
        <v>C783783</v>
      </c>
      <c r="O112" t="s">
        <v>1473</v>
      </c>
    </row>
    <row r="113" spans="1:15">
      <c r="A113" t="s">
        <v>1264</v>
      </c>
      <c r="B113" t="s">
        <v>1474</v>
      </c>
      <c r="C113" s="25" t="str">
        <f t="shared" ref="C113:C144" si="124">CONCATENATE("Airbus","A220")</f>
        <v>AirbusA220</v>
      </c>
      <c r="D113" t="str">
        <f>IF(Ticketsys!D113=CONCATENATE("long","-","haul"," ","flights"),"YES","NO")</f>
        <v>NO</v>
      </c>
      <c r="E113">
        <f t="shared" si="71"/>
        <v>135</v>
      </c>
      <c r="F113">
        <f t="shared" si="72"/>
        <v>27</v>
      </c>
      <c r="G113">
        <f t="shared" si="73"/>
        <v>27</v>
      </c>
      <c r="H113">
        <f t="shared" si="74"/>
        <v>81</v>
      </c>
      <c r="I113" s="27">
        <f t="shared" si="78"/>
        <v>1.1562499999999996</v>
      </c>
      <c r="J113" t="s">
        <v>1612</v>
      </c>
      <c r="K113" s="28">
        <f>Ticketsys!F113</f>
        <v>4.2395833333333437</v>
      </c>
      <c r="L113" s="27">
        <f t="shared" si="75"/>
        <v>5.3958333333333428</v>
      </c>
      <c r="M113">
        <f t="shared" si="79"/>
        <v>789</v>
      </c>
      <c r="N113" t="str">
        <f t="shared" si="76"/>
        <v>D789789</v>
      </c>
      <c r="O113" t="s">
        <v>1474</v>
      </c>
    </row>
    <row r="114" spans="1:15">
      <c r="A114" t="s">
        <v>1265</v>
      </c>
      <c r="B114" t="s">
        <v>1475</v>
      </c>
      <c r="C114" s="25" t="str">
        <f t="shared" ref="C114:C145" si="125">CONCATENATE("Airbus","A320")</f>
        <v>AirbusA320</v>
      </c>
      <c r="D114" t="str">
        <f>IF(Ticketsys!D114=CONCATENATE("long","-","haul"," ","flights"),"YES","NO")</f>
        <v>NO</v>
      </c>
      <c r="E114">
        <f t="shared" si="71"/>
        <v>150</v>
      </c>
      <c r="F114">
        <f t="shared" si="72"/>
        <v>30</v>
      </c>
      <c r="G114">
        <f t="shared" si="73"/>
        <v>30</v>
      </c>
      <c r="H114">
        <f t="shared" si="74"/>
        <v>90</v>
      </c>
      <c r="I114" s="27">
        <f t="shared" si="78"/>
        <v>1.1666666666666663</v>
      </c>
      <c r="J114" t="s">
        <v>1613</v>
      </c>
      <c r="K114" s="28">
        <f>Ticketsys!F114</f>
        <v>4.2777777777777883</v>
      </c>
      <c r="L114" s="27">
        <f t="shared" si="75"/>
        <v>5.4444444444444544</v>
      </c>
      <c r="M114">
        <f t="shared" si="79"/>
        <v>795</v>
      </c>
      <c r="N114" t="str">
        <f t="shared" si="76"/>
        <v>E795795</v>
      </c>
      <c r="O114" t="s">
        <v>1475</v>
      </c>
    </row>
    <row r="115" spans="1:15">
      <c r="A115" t="s">
        <v>1266</v>
      </c>
      <c r="B115" t="s">
        <v>1476</v>
      </c>
      <c r="C115" s="25" t="str">
        <f t="shared" ref="C115:C146" si="126">CONCATENATE("Airbus","A350")</f>
        <v>AirbusA350</v>
      </c>
      <c r="D115" t="str">
        <f>IF(Ticketsys!D115=CONCATENATE("long","-","haul"," ","flights"),"YES","NO")</f>
        <v>NO</v>
      </c>
      <c r="E115">
        <f t="shared" si="71"/>
        <v>325</v>
      </c>
      <c r="F115">
        <f t="shared" si="72"/>
        <v>65</v>
      </c>
      <c r="G115">
        <f t="shared" si="73"/>
        <v>65</v>
      </c>
      <c r="H115">
        <f t="shared" si="74"/>
        <v>195</v>
      </c>
      <c r="I115" s="27">
        <f t="shared" si="78"/>
        <v>1.177083333333333</v>
      </c>
      <c r="J115" t="s">
        <v>1612</v>
      </c>
      <c r="K115" s="28">
        <f>Ticketsys!F115</f>
        <v>4.315972222222233</v>
      </c>
      <c r="L115" s="27">
        <f t="shared" si="75"/>
        <v>5.493055555555566</v>
      </c>
      <c r="M115">
        <f t="shared" si="79"/>
        <v>801</v>
      </c>
      <c r="N115" t="str">
        <f t="shared" si="76"/>
        <v>C801801</v>
      </c>
      <c r="O115" t="s">
        <v>1476</v>
      </c>
    </row>
    <row r="116" spans="1:15">
      <c r="A116" t="s">
        <v>1267</v>
      </c>
      <c r="B116" t="s">
        <v>1477</v>
      </c>
      <c r="C116" s="25" t="str">
        <f t="shared" ref="C116:C147" si="127">CONCATENATE("Airbus","A220")</f>
        <v>AirbusA220</v>
      </c>
      <c r="D116" t="str">
        <f>IF(Ticketsys!D116=CONCATENATE("long","-","haul"," ","flights"),"YES","NO")</f>
        <v>NO</v>
      </c>
      <c r="E116">
        <f t="shared" si="71"/>
        <v>135</v>
      </c>
      <c r="F116">
        <f t="shared" si="72"/>
        <v>27</v>
      </c>
      <c r="G116">
        <f t="shared" si="73"/>
        <v>27</v>
      </c>
      <c r="H116">
        <f t="shared" si="74"/>
        <v>81</v>
      </c>
      <c r="I116" s="27">
        <f t="shared" si="78"/>
        <v>1.1874999999999998</v>
      </c>
      <c r="J116" t="s">
        <v>1614</v>
      </c>
      <c r="K116" s="28">
        <f>Ticketsys!F116</f>
        <v>4.3541666666666776</v>
      </c>
      <c r="L116" s="27">
        <f t="shared" si="75"/>
        <v>5.5416666666666776</v>
      </c>
      <c r="M116">
        <f t="shared" si="79"/>
        <v>807</v>
      </c>
      <c r="N116" t="str">
        <f t="shared" si="76"/>
        <v>A807807</v>
      </c>
      <c r="O116" t="s">
        <v>1477</v>
      </c>
    </row>
    <row r="117" spans="1:15">
      <c r="A117" t="s">
        <v>1268</v>
      </c>
      <c r="B117" t="s">
        <v>1478</v>
      </c>
      <c r="C117" s="25" t="str">
        <f t="shared" ref="C117:C148" si="128">CONCATENATE("Airbus","A320")</f>
        <v>AirbusA320</v>
      </c>
      <c r="D117" t="str">
        <f>IF(Ticketsys!D117=CONCATENATE("long","-","haul"," ","flights"),"YES","NO")</f>
        <v>NO</v>
      </c>
      <c r="E117">
        <f t="shared" si="71"/>
        <v>150</v>
      </c>
      <c r="F117">
        <f t="shared" si="72"/>
        <v>30</v>
      </c>
      <c r="G117">
        <f t="shared" si="73"/>
        <v>30</v>
      </c>
      <c r="H117">
        <f t="shared" si="74"/>
        <v>90</v>
      </c>
      <c r="I117" s="27">
        <f t="shared" si="78"/>
        <v>1.1979166666666665</v>
      </c>
      <c r="J117" t="s">
        <v>1614</v>
      </c>
      <c r="K117" s="28">
        <f>Ticketsys!F117</f>
        <v>4.3923611111111223</v>
      </c>
      <c r="L117" s="27">
        <f t="shared" si="75"/>
        <v>5.5902777777777892</v>
      </c>
      <c r="M117">
        <f t="shared" si="79"/>
        <v>813</v>
      </c>
      <c r="N117" t="str">
        <f t="shared" si="76"/>
        <v>B813813</v>
      </c>
      <c r="O117" t="s">
        <v>1478</v>
      </c>
    </row>
    <row r="118" spans="1:15">
      <c r="A118" t="s">
        <v>1269</v>
      </c>
      <c r="B118" t="s">
        <v>1479</v>
      </c>
      <c r="C118" s="25" t="str">
        <f t="shared" ref="C118:C149" si="129">CONCATENATE("Airbus","A350")</f>
        <v>AirbusA350</v>
      </c>
      <c r="D118" t="str">
        <f>IF(Ticketsys!D118=CONCATENATE("long","-","haul"," ","flights"),"YES","NO")</f>
        <v>NO</v>
      </c>
      <c r="E118">
        <f t="shared" si="71"/>
        <v>325</v>
      </c>
      <c r="F118">
        <f t="shared" si="72"/>
        <v>65</v>
      </c>
      <c r="G118">
        <f t="shared" si="73"/>
        <v>65</v>
      </c>
      <c r="H118">
        <f t="shared" si="74"/>
        <v>195</v>
      </c>
      <c r="I118" s="27">
        <f t="shared" si="78"/>
        <v>1.2083333333333333</v>
      </c>
      <c r="J118" t="s">
        <v>1614</v>
      </c>
      <c r="K118" s="28">
        <f>Ticketsys!F118</f>
        <v>4.4305555555555669</v>
      </c>
      <c r="L118" s="27">
        <f t="shared" si="75"/>
        <v>5.6388888888888999</v>
      </c>
      <c r="M118">
        <f t="shared" si="79"/>
        <v>819</v>
      </c>
      <c r="N118" t="str">
        <f t="shared" si="76"/>
        <v>C819819</v>
      </c>
      <c r="O118" t="s">
        <v>1479</v>
      </c>
    </row>
    <row r="119" spans="1:15">
      <c r="A119" t="s">
        <v>1270</v>
      </c>
      <c r="B119" t="s">
        <v>1480</v>
      </c>
      <c r="C119" s="25" t="str">
        <f t="shared" ref="C119:C150" si="130">CONCATENATE("Airbus","A220")</f>
        <v>AirbusA220</v>
      </c>
      <c r="D119" t="str">
        <f>IF(Ticketsys!D119=CONCATENATE("long","-","haul"," ","flights"),"YES","NO")</f>
        <v>NO</v>
      </c>
      <c r="E119">
        <f t="shared" si="71"/>
        <v>135</v>
      </c>
      <c r="F119">
        <f t="shared" si="72"/>
        <v>27</v>
      </c>
      <c r="G119">
        <f t="shared" si="73"/>
        <v>27</v>
      </c>
      <c r="H119">
        <f t="shared" si="74"/>
        <v>81</v>
      </c>
      <c r="I119" s="27">
        <f t="shared" si="78"/>
        <v>1.21875</v>
      </c>
      <c r="J119" t="s">
        <v>1614</v>
      </c>
      <c r="K119" s="28">
        <f>Ticketsys!F119</f>
        <v>4.4687500000000115</v>
      </c>
      <c r="L119" s="27">
        <f t="shared" si="75"/>
        <v>5.6875000000000115</v>
      </c>
      <c r="M119">
        <f t="shared" si="79"/>
        <v>825</v>
      </c>
      <c r="N119" t="str">
        <f t="shared" si="76"/>
        <v>A825825</v>
      </c>
      <c r="O119" t="s">
        <v>1480</v>
      </c>
    </row>
    <row r="120" spans="1:15">
      <c r="A120" t="s">
        <v>1271</v>
      </c>
      <c r="B120" t="s">
        <v>1481</v>
      </c>
      <c r="C120" s="25" t="str">
        <f t="shared" ref="C120:C151" si="131">CONCATENATE("Airbus","A320")</f>
        <v>AirbusA320</v>
      </c>
      <c r="D120" t="str">
        <f>IF(Ticketsys!D120=CONCATENATE("long","-","haul"," ","flights"),"YES","NO")</f>
        <v>NO</v>
      </c>
      <c r="E120">
        <f t="shared" si="71"/>
        <v>150</v>
      </c>
      <c r="F120">
        <f t="shared" si="72"/>
        <v>30</v>
      </c>
      <c r="G120">
        <f t="shared" si="73"/>
        <v>30</v>
      </c>
      <c r="H120">
        <f t="shared" si="74"/>
        <v>90</v>
      </c>
      <c r="I120" s="27">
        <f t="shared" si="78"/>
        <v>1.2291666666666667</v>
      </c>
      <c r="J120" t="s">
        <v>1614</v>
      </c>
      <c r="K120" s="28">
        <f>Ticketsys!F120</f>
        <v>4.5069444444444562</v>
      </c>
      <c r="L120" s="27">
        <f t="shared" si="75"/>
        <v>5.7361111111111232</v>
      </c>
      <c r="M120">
        <f t="shared" si="79"/>
        <v>831</v>
      </c>
      <c r="N120" t="str">
        <f t="shared" si="76"/>
        <v>B831831</v>
      </c>
      <c r="O120" t="s">
        <v>1481</v>
      </c>
    </row>
    <row r="121" spans="1:15">
      <c r="A121" t="s">
        <v>1272</v>
      </c>
      <c r="B121" t="s">
        <v>1482</v>
      </c>
      <c r="C121" s="25" t="str">
        <f t="shared" ref="C121:C152" si="132">CONCATENATE("Airbus","A350")</f>
        <v>AirbusA350</v>
      </c>
      <c r="D121" t="str">
        <f>IF(Ticketsys!D121=CONCATENATE("long","-","haul"," ","flights"),"YES","NO")</f>
        <v>NO</v>
      </c>
      <c r="E121">
        <f t="shared" si="71"/>
        <v>325</v>
      </c>
      <c r="F121">
        <f t="shared" si="72"/>
        <v>65</v>
      </c>
      <c r="G121">
        <f t="shared" si="73"/>
        <v>65</v>
      </c>
      <c r="H121">
        <f t="shared" si="74"/>
        <v>195</v>
      </c>
      <c r="I121" s="27">
        <f t="shared" si="78"/>
        <v>1.2395833333333335</v>
      </c>
      <c r="J121" t="s">
        <v>1612</v>
      </c>
      <c r="K121" s="28">
        <f>Ticketsys!F121</f>
        <v>4.5451388888889008</v>
      </c>
      <c r="L121" s="27">
        <f t="shared" si="75"/>
        <v>5.7847222222222339</v>
      </c>
      <c r="M121">
        <f t="shared" si="79"/>
        <v>837</v>
      </c>
      <c r="N121" t="str">
        <f t="shared" si="76"/>
        <v>C837837</v>
      </c>
      <c r="O121" t="s">
        <v>1482</v>
      </c>
    </row>
    <row r="122" spans="1:15">
      <c r="A122" t="s">
        <v>1273</v>
      </c>
      <c r="B122" t="s">
        <v>1483</v>
      </c>
      <c r="C122" s="25" t="str">
        <f t="shared" ref="C122:C153" si="133">CONCATENATE("Airbus","A220")</f>
        <v>AirbusA220</v>
      </c>
      <c r="D122" t="str">
        <f>IF(Ticketsys!D122=CONCATENATE("long","-","haul"," ","flights"),"YES","NO")</f>
        <v>NO</v>
      </c>
      <c r="E122">
        <f t="shared" si="71"/>
        <v>135</v>
      </c>
      <c r="F122">
        <f t="shared" si="72"/>
        <v>27</v>
      </c>
      <c r="G122">
        <f t="shared" si="73"/>
        <v>27</v>
      </c>
      <c r="H122">
        <f t="shared" si="74"/>
        <v>81</v>
      </c>
      <c r="I122" s="27">
        <f t="shared" si="78"/>
        <v>1.2500000000000002</v>
      </c>
      <c r="J122" t="s">
        <v>1614</v>
      </c>
      <c r="K122" s="28">
        <f>Ticketsys!F122</f>
        <v>4.5833333333333455</v>
      </c>
      <c r="L122" s="27">
        <f t="shared" si="75"/>
        <v>5.8333333333333455</v>
      </c>
      <c r="M122">
        <f t="shared" si="79"/>
        <v>843</v>
      </c>
      <c r="N122" t="str">
        <f t="shared" si="76"/>
        <v>D843843</v>
      </c>
      <c r="O122" t="s">
        <v>1483</v>
      </c>
    </row>
    <row r="123" spans="1:15">
      <c r="A123" t="s">
        <v>1274</v>
      </c>
      <c r="B123" t="s">
        <v>1484</v>
      </c>
      <c r="C123" s="25" t="str">
        <f t="shared" ref="C123:C154" si="134">CONCATENATE("Airbus","A320")</f>
        <v>AirbusA320</v>
      </c>
      <c r="D123" t="str">
        <f>IF(Ticketsys!D123=CONCATENATE("long","-","haul"," ","flights"),"YES","NO")</f>
        <v>NO</v>
      </c>
      <c r="E123">
        <f t="shared" si="71"/>
        <v>150</v>
      </c>
      <c r="F123">
        <f t="shared" si="72"/>
        <v>30</v>
      </c>
      <c r="G123">
        <f t="shared" si="73"/>
        <v>30</v>
      </c>
      <c r="H123">
        <f t="shared" si="74"/>
        <v>90</v>
      </c>
      <c r="I123" s="27">
        <f t="shared" si="78"/>
        <v>1.260416666666667</v>
      </c>
      <c r="J123" t="s">
        <v>1612</v>
      </c>
      <c r="K123" s="28">
        <f>Ticketsys!F123</f>
        <v>4.6215277777777901</v>
      </c>
      <c r="L123" s="27">
        <f t="shared" si="75"/>
        <v>5.8819444444444571</v>
      </c>
      <c r="M123">
        <f t="shared" si="79"/>
        <v>849</v>
      </c>
      <c r="N123" t="str">
        <f t="shared" si="76"/>
        <v>E849849</v>
      </c>
      <c r="O123" t="s">
        <v>1484</v>
      </c>
    </row>
    <row r="124" spans="1:15">
      <c r="A124" t="s">
        <v>1275</v>
      </c>
      <c r="B124" t="s">
        <v>1485</v>
      </c>
      <c r="C124" s="25" t="str">
        <f t="shared" ref="C124:C155" si="135">CONCATENATE("Airbus","A350")</f>
        <v>AirbusA350</v>
      </c>
      <c r="D124" t="str">
        <f>IF(Ticketsys!D124=CONCATENATE("long","-","haul"," ","flights"),"YES","NO")</f>
        <v>NO</v>
      </c>
      <c r="E124">
        <f t="shared" si="71"/>
        <v>325</v>
      </c>
      <c r="F124">
        <f t="shared" si="72"/>
        <v>65</v>
      </c>
      <c r="G124">
        <f t="shared" si="73"/>
        <v>65</v>
      </c>
      <c r="H124">
        <f t="shared" si="74"/>
        <v>195</v>
      </c>
      <c r="I124" s="27">
        <f t="shared" si="78"/>
        <v>1.2708333333333337</v>
      </c>
      <c r="J124" t="s">
        <v>1612</v>
      </c>
      <c r="K124" s="28">
        <f>Ticketsys!F124</f>
        <v>4.6597222222222348</v>
      </c>
      <c r="L124" s="27">
        <f t="shared" si="75"/>
        <v>5.9305555555555687</v>
      </c>
      <c r="M124">
        <f t="shared" si="79"/>
        <v>855</v>
      </c>
      <c r="N124" t="str">
        <f t="shared" si="76"/>
        <v>C855855</v>
      </c>
      <c r="O124" t="s">
        <v>1485</v>
      </c>
    </row>
    <row r="125" spans="1:15">
      <c r="A125" t="s">
        <v>1276</v>
      </c>
      <c r="B125" t="s">
        <v>1486</v>
      </c>
      <c r="C125" s="25" t="str">
        <f t="shared" ref="C125:C156" si="136">CONCATENATE("Airbus","A220")</f>
        <v>AirbusA220</v>
      </c>
      <c r="D125" t="str">
        <f>IF(Ticketsys!D125=CONCATENATE("long","-","haul"," ","flights"),"YES","NO")</f>
        <v>NO</v>
      </c>
      <c r="E125">
        <f t="shared" si="71"/>
        <v>135</v>
      </c>
      <c r="F125">
        <f t="shared" si="72"/>
        <v>27</v>
      </c>
      <c r="G125">
        <f t="shared" si="73"/>
        <v>27</v>
      </c>
      <c r="H125">
        <f t="shared" si="74"/>
        <v>81</v>
      </c>
      <c r="I125" s="27">
        <f t="shared" si="78"/>
        <v>1.2812500000000004</v>
      </c>
      <c r="J125" t="s">
        <v>2759</v>
      </c>
      <c r="K125" s="28">
        <f>Ticketsys!F125</f>
        <v>4.6979166666666794</v>
      </c>
      <c r="L125" s="27">
        <f t="shared" si="75"/>
        <v>5.9791666666666803</v>
      </c>
      <c r="M125">
        <f t="shared" si="79"/>
        <v>861</v>
      </c>
      <c r="N125" t="str">
        <f t="shared" si="76"/>
        <v>A861861</v>
      </c>
      <c r="O125" t="s">
        <v>1486</v>
      </c>
    </row>
    <row r="126" spans="1:15">
      <c r="A126" t="s">
        <v>1277</v>
      </c>
      <c r="B126" t="s">
        <v>1487</v>
      </c>
      <c r="C126" s="25" t="str">
        <f t="shared" ref="C126:C157" si="137">CONCATENATE("Airbus","A320")</f>
        <v>AirbusA320</v>
      </c>
      <c r="D126" t="str">
        <f>IF(Ticketsys!D126=CONCATENATE("long","-","haul"," ","flights"),"YES","NO")</f>
        <v>NO</v>
      </c>
      <c r="E126">
        <f t="shared" si="71"/>
        <v>150</v>
      </c>
      <c r="F126">
        <f t="shared" si="72"/>
        <v>30</v>
      </c>
      <c r="G126">
        <f t="shared" si="73"/>
        <v>30</v>
      </c>
      <c r="H126">
        <f t="shared" si="74"/>
        <v>90</v>
      </c>
      <c r="I126" s="27">
        <f t="shared" si="78"/>
        <v>1.2916666666666672</v>
      </c>
      <c r="J126" t="s">
        <v>1614</v>
      </c>
      <c r="K126" s="28">
        <f>Ticketsys!F126</f>
        <v>4.736111111111124</v>
      </c>
      <c r="L126" s="27">
        <f t="shared" si="75"/>
        <v>6.027777777777791</v>
      </c>
      <c r="M126">
        <f t="shared" si="79"/>
        <v>867</v>
      </c>
      <c r="N126" t="str">
        <f t="shared" si="76"/>
        <v>B867867</v>
      </c>
      <c r="O126" t="s">
        <v>1487</v>
      </c>
    </row>
    <row r="127" spans="1:15">
      <c r="A127" t="s">
        <v>1278</v>
      </c>
      <c r="B127" t="s">
        <v>1488</v>
      </c>
      <c r="C127" s="25" t="str">
        <f t="shared" ref="C127:C158" si="138">CONCATENATE("Airbus","A350")</f>
        <v>AirbusA350</v>
      </c>
      <c r="D127" t="str">
        <f>IF(Ticketsys!D127=CONCATENATE("long","-","haul"," ","flights"),"YES","NO")</f>
        <v>NO</v>
      </c>
      <c r="E127">
        <f t="shared" si="71"/>
        <v>325</v>
      </c>
      <c r="F127">
        <f t="shared" si="72"/>
        <v>65</v>
      </c>
      <c r="G127">
        <f t="shared" si="73"/>
        <v>65</v>
      </c>
      <c r="H127">
        <f t="shared" si="74"/>
        <v>195</v>
      </c>
      <c r="I127" s="27">
        <f t="shared" si="78"/>
        <v>1.3020833333333339</v>
      </c>
      <c r="J127" t="s">
        <v>1614</v>
      </c>
      <c r="K127" s="28">
        <f>Ticketsys!F127</f>
        <v>4.7743055555555687</v>
      </c>
      <c r="L127" s="27">
        <f t="shared" si="75"/>
        <v>6.0763888888889026</v>
      </c>
      <c r="M127">
        <f t="shared" si="79"/>
        <v>873</v>
      </c>
      <c r="N127" t="str">
        <f t="shared" si="76"/>
        <v>C873873</v>
      </c>
      <c r="O127" t="s">
        <v>1488</v>
      </c>
    </row>
    <row r="128" spans="1:15">
      <c r="A128" t="s">
        <v>1279</v>
      </c>
      <c r="B128" t="s">
        <v>1489</v>
      </c>
      <c r="C128" s="25" t="str">
        <f t="shared" ref="C128:C159" si="139">CONCATENATE("Airbus","A220")</f>
        <v>AirbusA220</v>
      </c>
      <c r="D128" t="str">
        <f>IF(Ticketsys!D128=CONCATENATE("long","-","haul"," ","flights"),"YES","NO")</f>
        <v>NO</v>
      </c>
      <c r="E128">
        <f t="shared" si="71"/>
        <v>135</v>
      </c>
      <c r="F128">
        <f t="shared" si="72"/>
        <v>27</v>
      </c>
      <c r="G128">
        <f t="shared" si="73"/>
        <v>27</v>
      </c>
      <c r="H128">
        <f t="shared" si="74"/>
        <v>81</v>
      </c>
      <c r="I128" s="27">
        <f t="shared" si="78"/>
        <v>1.3125000000000007</v>
      </c>
      <c r="J128" t="s">
        <v>1614</v>
      </c>
      <c r="K128" s="28">
        <f>Ticketsys!F128</f>
        <v>4.8125000000000133</v>
      </c>
      <c r="L128" s="27">
        <f t="shared" si="75"/>
        <v>6.1250000000000142</v>
      </c>
      <c r="M128">
        <f t="shared" si="79"/>
        <v>879</v>
      </c>
      <c r="N128" t="str">
        <f t="shared" si="76"/>
        <v>A879879</v>
      </c>
      <c r="O128" t="s">
        <v>1489</v>
      </c>
    </row>
    <row r="129" spans="1:15">
      <c r="A129" t="s">
        <v>1280</v>
      </c>
      <c r="B129" t="s">
        <v>1490</v>
      </c>
      <c r="C129" s="25" t="str">
        <f t="shared" ref="C129:C160" si="140">CONCATENATE("Airbus","A320")</f>
        <v>AirbusA320</v>
      </c>
      <c r="D129" t="str">
        <f>IF(Ticketsys!D129=CONCATENATE("long","-","haul"," ","flights"),"YES","NO")</f>
        <v>NO</v>
      </c>
      <c r="E129">
        <f t="shared" si="71"/>
        <v>150</v>
      </c>
      <c r="F129">
        <f t="shared" si="72"/>
        <v>30</v>
      </c>
      <c r="G129">
        <f t="shared" si="73"/>
        <v>30</v>
      </c>
      <c r="H129">
        <f t="shared" si="74"/>
        <v>90</v>
      </c>
      <c r="I129" s="27">
        <f t="shared" si="78"/>
        <v>1.3229166666666674</v>
      </c>
      <c r="J129" t="s">
        <v>1614</v>
      </c>
      <c r="K129" s="28">
        <f>Ticketsys!F129</f>
        <v>4.850694444444458</v>
      </c>
      <c r="L129" s="27">
        <f t="shared" si="75"/>
        <v>6.1736111111111249</v>
      </c>
      <c r="M129">
        <f t="shared" si="79"/>
        <v>885</v>
      </c>
      <c r="N129" t="str">
        <f t="shared" si="76"/>
        <v>B885885</v>
      </c>
      <c r="O129" t="s">
        <v>1490</v>
      </c>
    </row>
    <row r="130" spans="1:15">
      <c r="A130" t="s">
        <v>1281</v>
      </c>
      <c r="B130" t="s">
        <v>1491</v>
      </c>
      <c r="C130" s="25" t="str">
        <f t="shared" ref="C130:C161" si="141">CONCATENATE("Airbus","A350")</f>
        <v>AirbusA350</v>
      </c>
      <c r="D130" t="str">
        <f>IF(Ticketsys!D130=CONCATENATE("long","-","haul"," ","flights"),"YES","NO")</f>
        <v>NO</v>
      </c>
      <c r="E130">
        <f t="shared" si="71"/>
        <v>325</v>
      </c>
      <c r="F130">
        <f t="shared" si="72"/>
        <v>65</v>
      </c>
      <c r="G130">
        <f t="shared" si="73"/>
        <v>65</v>
      </c>
      <c r="H130">
        <f t="shared" si="74"/>
        <v>195</v>
      </c>
      <c r="I130" s="27">
        <f t="shared" si="78"/>
        <v>1.3333333333333341</v>
      </c>
      <c r="J130" t="s">
        <v>1614</v>
      </c>
      <c r="K130" s="28">
        <f>Ticketsys!F130</f>
        <v>4.8888888888889026</v>
      </c>
      <c r="L130" s="27">
        <f t="shared" si="75"/>
        <v>6.2222222222222365</v>
      </c>
      <c r="M130">
        <f t="shared" si="79"/>
        <v>891</v>
      </c>
      <c r="N130" t="str">
        <f t="shared" si="76"/>
        <v>C891891</v>
      </c>
      <c r="O130" t="s">
        <v>1491</v>
      </c>
    </row>
    <row r="131" spans="1:15">
      <c r="A131" t="s">
        <v>1282</v>
      </c>
      <c r="B131" t="s">
        <v>1492</v>
      </c>
      <c r="C131" s="25" t="str">
        <f t="shared" ref="C131:C162" si="142">CONCATENATE("Airbus","A220")</f>
        <v>AirbusA220</v>
      </c>
      <c r="D131" t="str">
        <f>IF(Ticketsys!D131=CONCATENATE("long","-","haul"," ","flights"),"YES","NO")</f>
        <v>NO</v>
      </c>
      <c r="E131">
        <f t="shared" ref="E131:E194" si="143">IF(C131=CONCATENATE("Airbus","A220"),135,(IF(C131=CONCATENATE("Airbus","A320"),150,325)))</f>
        <v>135</v>
      </c>
      <c r="F131">
        <f t="shared" ref="F131:F194" si="144">E131*(20/100)</f>
        <v>27</v>
      </c>
      <c r="G131">
        <f t="shared" ref="G131:G194" si="145">E131*(20/100)</f>
        <v>27</v>
      </c>
      <c r="H131">
        <f t="shared" ref="H131:H194" si="146">E131*(60/100)</f>
        <v>81</v>
      </c>
      <c r="I131" s="27">
        <f t="shared" si="78"/>
        <v>1.3437500000000009</v>
      </c>
      <c r="J131" t="s">
        <v>1614</v>
      </c>
      <c r="K131" s="28">
        <f>Ticketsys!F131</f>
        <v>4.9270833333333472</v>
      </c>
      <c r="L131" s="27">
        <f t="shared" ref="L131:L194" si="147">K131+I131</f>
        <v>6.2708333333333481</v>
      </c>
      <c r="M131">
        <f t="shared" si="79"/>
        <v>897</v>
      </c>
      <c r="N131" t="str">
        <f t="shared" ref="N131:N194" si="148">CONCATENATE(B131,M131)</f>
        <v>D897897</v>
      </c>
      <c r="O131" t="s">
        <v>1492</v>
      </c>
    </row>
    <row r="132" spans="1:15">
      <c r="A132" t="s">
        <v>1283</v>
      </c>
      <c r="B132" t="s">
        <v>1493</v>
      </c>
      <c r="C132" s="25" t="str">
        <f t="shared" ref="C132:C163" si="149">CONCATENATE("Airbus","A320")</f>
        <v>AirbusA320</v>
      </c>
      <c r="D132" t="str">
        <f>IF(Ticketsys!D132=CONCATENATE("long","-","haul"," ","flights"),"YES","NO")</f>
        <v>NO</v>
      </c>
      <c r="E132">
        <f t="shared" si="143"/>
        <v>150</v>
      </c>
      <c r="F132">
        <f t="shared" si="144"/>
        <v>30</v>
      </c>
      <c r="G132">
        <f t="shared" si="145"/>
        <v>30</v>
      </c>
      <c r="H132">
        <f t="shared" si="146"/>
        <v>90</v>
      </c>
      <c r="I132" s="27">
        <f t="shared" ref="I132:I195" si="150">I131+"00:15:00"</f>
        <v>1.3541666666666676</v>
      </c>
      <c r="J132" t="s">
        <v>1614</v>
      </c>
      <c r="K132" s="28">
        <f>Ticketsys!F132</f>
        <v>4.9652777777777919</v>
      </c>
      <c r="L132" s="27">
        <f t="shared" si="147"/>
        <v>6.3194444444444597</v>
      </c>
      <c r="M132">
        <f t="shared" ref="M132:M195" si="151">M131+6</f>
        <v>903</v>
      </c>
      <c r="N132" t="str">
        <f t="shared" si="148"/>
        <v>E903903</v>
      </c>
      <c r="O132" t="s">
        <v>1493</v>
      </c>
    </row>
    <row r="133" spans="1:15">
      <c r="A133" t="s">
        <v>1284</v>
      </c>
      <c r="B133" t="s">
        <v>1494</v>
      </c>
      <c r="C133" s="25" t="str">
        <f t="shared" ref="C133:C164" si="152">CONCATENATE("Airbus","A350")</f>
        <v>AirbusA350</v>
      </c>
      <c r="D133" t="str">
        <f>IF(Ticketsys!D133=CONCATENATE("long","-","haul"," ","flights"),"YES","NO")</f>
        <v>NO</v>
      </c>
      <c r="E133">
        <f t="shared" si="143"/>
        <v>325</v>
      </c>
      <c r="F133">
        <f t="shared" si="144"/>
        <v>65</v>
      </c>
      <c r="G133">
        <f t="shared" si="145"/>
        <v>65</v>
      </c>
      <c r="H133">
        <f t="shared" si="146"/>
        <v>195</v>
      </c>
      <c r="I133" s="27">
        <f t="shared" si="150"/>
        <v>1.3645833333333344</v>
      </c>
      <c r="J133" t="s">
        <v>2759</v>
      </c>
      <c r="K133" s="28">
        <f>Ticketsys!F133</f>
        <v>5.0034722222222365</v>
      </c>
      <c r="L133" s="27">
        <f t="shared" si="147"/>
        <v>6.3680555555555713</v>
      </c>
      <c r="M133">
        <f t="shared" si="151"/>
        <v>909</v>
      </c>
      <c r="N133" t="str">
        <f t="shared" si="148"/>
        <v>C909909</v>
      </c>
      <c r="O133" t="s">
        <v>1494</v>
      </c>
    </row>
    <row r="134" spans="1:15">
      <c r="A134" t="s">
        <v>1285</v>
      </c>
      <c r="B134" t="s">
        <v>1495</v>
      </c>
      <c r="C134" s="25" t="str">
        <f t="shared" ref="C134:C165" si="153">CONCATENATE("Airbus","A220")</f>
        <v>AirbusA220</v>
      </c>
      <c r="D134" t="str">
        <f>IF(Ticketsys!D134=CONCATENATE("long","-","haul"," ","flights"),"YES","NO")</f>
        <v>NO</v>
      </c>
      <c r="E134">
        <f t="shared" si="143"/>
        <v>135</v>
      </c>
      <c r="F134">
        <f t="shared" si="144"/>
        <v>27</v>
      </c>
      <c r="G134">
        <f t="shared" si="145"/>
        <v>27</v>
      </c>
      <c r="H134">
        <f t="shared" si="146"/>
        <v>81</v>
      </c>
      <c r="I134" s="27">
        <f t="shared" si="150"/>
        <v>1.3750000000000011</v>
      </c>
      <c r="J134" t="s">
        <v>2759</v>
      </c>
      <c r="K134" s="28">
        <f>Ticketsys!F134</f>
        <v>5.0416666666666812</v>
      </c>
      <c r="L134" s="27">
        <f t="shared" si="147"/>
        <v>6.4166666666666821</v>
      </c>
      <c r="M134">
        <f t="shared" si="151"/>
        <v>915</v>
      </c>
      <c r="N134" t="str">
        <f t="shared" si="148"/>
        <v>A915915</v>
      </c>
      <c r="O134" t="s">
        <v>1495</v>
      </c>
    </row>
    <row r="135" spans="1:15">
      <c r="A135" t="s">
        <v>1286</v>
      </c>
      <c r="B135" t="s">
        <v>1496</v>
      </c>
      <c r="C135" s="25" t="str">
        <f t="shared" ref="C135:C166" si="154">CONCATENATE("Airbus","A320")</f>
        <v>AirbusA320</v>
      </c>
      <c r="D135" t="str">
        <f>IF(Ticketsys!D135=CONCATENATE("long","-","haul"," ","flights"),"YES","NO")</f>
        <v>NO</v>
      </c>
      <c r="E135">
        <f t="shared" si="143"/>
        <v>150</v>
      </c>
      <c r="F135">
        <f t="shared" si="144"/>
        <v>30</v>
      </c>
      <c r="G135">
        <f t="shared" si="145"/>
        <v>30</v>
      </c>
      <c r="H135">
        <f t="shared" si="146"/>
        <v>90</v>
      </c>
      <c r="I135" s="27">
        <f t="shared" si="150"/>
        <v>1.3854166666666679</v>
      </c>
      <c r="J135" t="s">
        <v>1612</v>
      </c>
      <c r="K135" s="28">
        <f>Ticketsys!F135</f>
        <v>5.0798611111111258</v>
      </c>
      <c r="L135" s="27">
        <f t="shared" si="147"/>
        <v>6.4652777777777937</v>
      </c>
      <c r="M135">
        <f t="shared" si="151"/>
        <v>921</v>
      </c>
      <c r="N135" t="str">
        <f t="shared" si="148"/>
        <v>B921921</v>
      </c>
      <c r="O135" t="s">
        <v>1496</v>
      </c>
    </row>
    <row r="136" spans="1:15">
      <c r="A136" t="s">
        <v>1287</v>
      </c>
      <c r="B136" t="s">
        <v>1497</v>
      </c>
      <c r="C136" s="25" t="str">
        <f t="shared" ref="C136:C167" si="155">CONCATENATE("Airbus","A350")</f>
        <v>AirbusA350</v>
      </c>
      <c r="D136" t="str">
        <f>IF(Ticketsys!D136=CONCATENATE("long","-","haul"," ","flights"),"YES","NO")</f>
        <v>NO</v>
      </c>
      <c r="E136">
        <f t="shared" si="143"/>
        <v>325</v>
      </c>
      <c r="F136">
        <f t="shared" si="144"/>
        <v>65</v>
      </c>
      <c r="G136">
        <f t="shared" si="145"/>
        <v>65</v>
      </c>
      <c r="H136">
        <f t="shared" si="146"/>
        <v>195</v>
      </c>
      <c r="I136" s="27">
        <f t="shared" si="150"/>
        <v>1.3958333333333346</v>
      </c>
      <c r="J136" t="s">
        <v>1613</v>
      </c>
      <c r="K136" s="28">
        <f>Ticketsys!F136</f>
        <v>5.1180555555555705</v>
      </c>
      <c r="L136" s="27">
        <f t="shared" si="147"/>
        <v>6.5138888888889053</v>
      </c>
      <c r="M136">
        <f t="shared" si="151"/>
        <v>927</v>
      </c>
      <c r="N136" t="str">
        <f t="shared" si="148"/>
        <v>C927927</v>
      </c>
      <c r="O136" t="s">
        <v>1497</v>
      </c>
    </row>
    <row r="137" spans="1:15">
      <c r="A137" t="s">
        <v>1288</v>
      </c>
      <c r="B137" t="s">
        <v>1498</v>
      </c>
      <c r="C137" s="25" t="str">
        <f t="shared" ref="C137:C168" si="156">CONCATENATE("Airbus","A220")</f>
        <v>AirbusA220</v>
      </c>
      <c r="D137" t="str">
        <f>IF(Ticketsys!D137=CONCATENATE("long","-","haul"," ","flights"),"YES","NO")</f>
        <v>NO</v>
      </c>
      <c r="E137">
        <f t="shared" si="143"/>
        <v>135</v>
      </c>
      <c r="F137">
        <f t="shared" si="144"/>
        <v>27</v>
      </c>
      <c r="G137">
        <f t="shared" si="145"/>
        <v>27</v>
      </c>
      <c r="H137">
        <f t="shared" si="146"/>
        <v>81</v>
      </c>
      <c r="I137" s="27">
        <f t="shared" si="150"/>
        <v>1.4062500000000013</v>
      </c>
      <c r="J137" t="s">
        <v>1612</v>
      </c>
      <c r="K137" s="28">
        <f>Ticketsys!F137</f>
        <v>5.1562500000000151</v>
      </c>
      <c r="L137" s="27">
        <f t="shared" si="147"/>
        <v>6.562500000000016</v>
      </c>
      <c r="M137">
        <f t="shared" si="151"/>
        <v>933</v>
      </c>
      <c r="N137" t="str">
        <f t="shared" si="148"/>
        <v>A933933</v>
      </c>
      <c r="O137" t="s">
        <v>1498</v>
      </c>
    </row>
    <row r="138" spans="1:15">
      <c r="A138" t="s">
        <v>1289</v>
      </c>
      <c r="B138" t="s">
        <v>1499</v>
      </c>
      <c r="C138" s="25" t="str">
        <f t="shared" ref="C138:C169" si="157">CONCATENATE("Airbus","A320")</f>
        <v>AirbusA320</v>
      </c>
      <c r="D138" t="str">
        <f>IF(Ticketsys!D138=CONCATENATE("long","-","haul"," ","flights"),"YES","NO")</f>
        <v>NO</v>
      </c>
      <c r="E138">
        <f t="shared" si="143"/>
        <v>150</v>
      </c>
      <c r="F138">
        <f t="shared" si="144"/>
        <v>30</v>
      </c>
      <c r="G138">
        <f t="shared" si="145"/>
        <v>30</v>
      </c>
      <c r="H138">
        <f t="shared" si="146"/>
        <v>90</v>
      </c>
      <c r="I138" s="27">
        <f t="shared" si="150"/>
        <v>1.4166666666666681</v>
      </c>
      <c r="J138" t="s">
        <v>1614</v>
      </c>
      <c r="K138" s="28">
        <f>Ticketsys!F138</f>
        <v>5.1944444444444597</v>
      </c>
      <c r="L138" s="27">
        <f t="shared" si="147"/>
        <v>6.6111111111111276</v>
      </c>
      <c r="M138">
        <f t="shared" si="151"/>
        <v>939</v>
      </c>
      <c r="N138" t="str">
        <f t="shared" si="148"/>
        <v>B939939</v>
      </c>
      <c r="O138" t="s">
        <v>1499</v>
      </c>
    </row>
    <row r="139" spans="1:15">
      <c r="A139" t="s">
        <v>1290</v>
      </c>
      <c r="B139" t="s">
        <v>1500</v>
      </c>
      <c r="C139" s="25" t="str">
        <f t="shared" ref="C139:C170" si="158">CONCATENATE("Airbus","A350")</f>
        <v>AirbusA350</v>
      </c>
      <c r="D139" t="str">
        <f>IF(Ticketsys!D139=CONCATENATE("long","-","haul"," ","flights"),"YES","NO")</f>
        <v>NO</v>
      </c>
      <c r="E139">
        <f t="shared" si="143"/>
        <v>325</v>
      </c>
      <c r="F139">
        <f t="shared" si="144"/>
        <v>65</v>
      </c>
      <c r="G139">
        <f t="shared" si="145"/>
        <v>65</v>
      </c>
      <c r="H139">
        <f t="shared" si="146"/>
        <v>195</v>
      </c>
      <c r="I139" s="27">
        <f t="shared" si="150"/>
        <v>1.4270833333333348</v>
      </c>
      <c r="J139" t="s">
        <v>1614</v>
      </c>
      <c r="K139" s="28">
        <f>Ticketsys!F139</f>
        <v>5.2326388888889044</v>
      </c>
      <c r="L139" s="27">
        <f t="shared" si="147"/>
        <v>6.6597222222222392</v>
      </c>
      <c r="M139">
        <f t="shared" si="151"/>
        <v>945</v>
      </c>
      <c r="N139" t="str">
        <f t="shared" si="148"/>
        <v>C945945</v>
      </c>
      <c r="O139" t="s">
        <v>1500</v>
      </c>
    </row>
    <row r="140" spans="1:15">
      <c r="A140" t="s">
        <v>1291</v>
      </c>
      <c r="B140" t="s">
        <v>1501</v>
      </c>
      <c r="C140" s="25" t="str">
        <f t="shared" ref="C140:C171" si="159">CONCATENATE("Airbus","A220")</f>
        <v>AirbusA220</v>
      </c>
      <c r="D140" t="str">
        <f>IF(Ticketsys!D140=CONCATENATE("long","-","haul"," ","flights"),"YES","NO")</f>
        <v>NO</v>
      </c>
      <c r="E140">
        <f t="shared" si="143"/>
        <v>135</v>
      </c>
      <c r="F140">
        <f t="shared" si="144"/>
        <v>27</v>
      </c>
      <c r="G140">
        <f t="shared" si="145"/>
        <v>27</v>
      </c>
      <c r="H140">
        <f t="shared" si="146"/>
        <v>81</v>
      </c>
      <c r="I140" s="27">
        <f t="shared" si="150"/>
        <v>1.4375000000000016</v>
      </c>
      <c r="J140" t="s">
        <v>1614</v>
      </c>
      <c r="K140" s="28">
        <f>Ticketsys!F140</f>
        <v>5.270833333333349</v>
      </c>
      <c r="L140" s="27">
        <f t="shared" si="147"/>
        <v>6.7083333333333508</v>
      </c>
      <c r="M140">
        <f t="shared" si="151"/>
        <v>951</v>
      </c>
      <c r="N140" t="str">
        <f t="shared" si="148"/>
        <v>D951951</v>
      </c>
      <c r="O140" t="s">
        <v>1501</v>
      </c>
    </row>
    <row r="141" spans="1:15">
      <c r="A141" t="s">
        <v>1292</v>
      </c>
      <c r="B141" t="s">
        <v>1502</v>
      </c>
      <c r="C141" s="25" t="str">
        <f t="shared" ref="C141:C172" si="160">CONCATENATE("Airbus","A320")</f>
        <v>AirbusA320</v>
      </c>
      <c r="D141" t="str">
        <f>IF(Ticketsys!D141=CONCATENATE("long","-","haul"," ","flights"),"YES","NO")</f>
        <v>NO</v>
      </c>
      <c r="E141">
        <f t="shared" si="143"/>
        <v>150</v>
      </c>
      <c r="F141">
        <f t="shared" si="144"/>
        <v>30</v>
      </c>
      <c r="G141">
        <f t="shared" si="145"/>
        <v>30</v>
      </c>
      <c r="H141">
        <f t="shared" si="146"/>
        <v>90</v>
      </c>
      <c r="I141" s="27">
        <f t="shared" si="150"/>
        <v>1.4479166666666683</v>
      </c>
      <c r="J141" t="s">
        <v>1614</v>
      </c>
      <c r="K141" s="28">
        <f>Ticketsys!F141</f>
        <v>5.3090277777777937</v>
      </c>
      <c r="L141" s="27">
        <f t="shared" si="147"/>
        <v>6.7569444444444624</v>
      </c>
      <c r="M141">
        <f t="shared" si="151"/>
        <v>957</v>
      </c>
      <c r="N141" t="str">
        <f t="shared" si="148"/>
        <v>E957957</v>
      </c>
      <c r="O141" t="s">
        <v>1502</v>
      </c>
    </row>
    <row r="142" spans="1:15">
      <c r="A142" t="s">
        <v>1293</v>
      </c>
      <c r="B142" t="s">
        <v>1503</v>
      </c>
      <c r="C142" s="25" t="str">
        <f t="shared" ref="C142:C173" si="161">CONCATENATE("Airbus","A350")</f>
        <v>AirbusA350</v>
      </c>
      <c r="D142" t="str">
        <f>IF(Ticketsys!D142=CONCATENATE("long","-","haul"," ","flights"),"YES","NO")</f>
        <v>NO</v>
      </c>
      <c r="E142">
        <f t="shared" si="143"/>
        <v>325</v>
      </c>
      <c r="F142">
        <f t="shared" si="144"/>
        <v>65</v>
      </c>
      <c r="G142">
        <f t="shared" si="145"/>
        <v>65</v>
      </c>
      <c r="H142">
        <f t="shared" si="146"/>
        <v>195</v>
      </c>
      <c r="I142" s="27">
        <f t="shared" si="150"/>
        <v>1.458333333333335</v>
      </c>
      <c r="J142" t="s">
        <v>1614</v>
      </c>
      <c r="K142" s="28">
        <f>Ticketsys!F142</f>
        <v>5.3472222222222383</v>
      </c>
      <c r="L142" s="27">
        <f t="shared" si="147"/>
        <v>6.8055555555555731</v>
      </c>
      <c r="M142">
        <f t="shared" si="151"/>
        <v>963</v>
      </c>
      <c r="N142" t="str">
        <f t="shared" si="148"/>
        <v>C963963</v>
      </c>
      <c r="O142" t="s">
        <v>1503</v>
      </c>
    </row>
    <row r="143" spans="1:15">
      <c r="A143" t="s">
        <v>1294</v>
      </c>
      <c r="B143" t="s">
        <v>1504</v>
      </c>
      <c r="C143" s="25" t="str">
        <f t="shared" ref="C143:C174" si="162">CONCATENATE("Airbus","A220")</f>
        <v>AirbusA220</v>
      </c>
      <c r="D143" t="str">
        <f>IF(Ticketsys!D143=CONCATENATE("long","-","haul"," ","flights"),"YES","NO")</f>
        <v>NO</v>
      </c>
      <c r="E143">
        <f t="shared" si="143"/>
        <v>135</v>
      </c>
      <c r="F143">
        <f t="shared" si="144"/>
        <v>27</v>
      </c>
      <c r="G143">
        <f t="shared" si="145"/>
        <v>27</v>
      </c>
      <c r="H143">
        <f t="shared" si="146"/>
        <v>81</v>
      </c>
      <c r="I143" s="27">
        <f t="shared" si="150"/>
        <v>1.4687500000000018</v>
      </c>
      <c r="J143" t="s">
        <v>1612</v>
      </c>
      <c r="K143" s="28">
        <f>Ticketsys!F143</f>
        <v>5.3854166666666829</v>
      </c>
      <c r="L143" s="27">
        <f t="shared" si="147"/>
        <v>6.8541666666666847</v>
      </c>
      <c r="M143">
        <f t="shared" si="151"/>
        <v>969</v>
      </c>
      <c r="N143" t="str">
        <f t="shared" si="148"/>
        <v>A969969</v>
      </c>
      <c r="O143" t="s">
        <v>1504</v>
      </c>
    </row>
    <row r="144" spans="1:15">
      <c r="A144" t="s">
        <v>1295</v>
      </c>
      <c r="B144" t="s">
        <v>1505</v>
      </c>
      <c r="C144" s="25" t="str">
        <f t="shared" ref="C144:C175" si="163">CONCATENATE("Airbus","A320")</f>
        <v>AirbusA320</v>
      </c>
      <c r="D144" t="str">
        <f>IF(Ticketsys!D144=CONCATENATE("long","-","haul"," ","flights"),"YES","NO")</f>
        <v>NO</v>
      </c>
      <c r="E144">
        <f t="shared" si="143"/>
        <v>150</v>
      </c>
      <c r="F144">
        <f t="shared" si="144"/>
        <v>30</v>
      </c>
      <c r="G144">
        <f t="shared" si="145"/>
        <v>30</v>
      </c>
      <c r="H144">
        <f t="shared" si="146"/>
        <v>90</v>
      </c>
      <c r="I144" s="27">
        <f t="shared" si="150"/>
        <v>1.4791666666666685</v>
      </c>
      <c r="J144" t="s">
        <v>1614</v>
      </c>
      <c r="K144" s="28">
        <f>Ticketsys!F144</f>
        <v>5.4236111111111276</v>
      </c>
      <c r="L144" s="27">
        <f t="shared" si="147"/>
        <v>6.9027777777777963</v>
      </c>
      <c r="M144">
        <f t="shared" si="151"/>
        <v>975</v>
      </c>
      <c r="N144" t="str">
        <f t="shared" si="148"/>
        <v>B975975</v>
      </c>
      <c r="O144" t="s">
        <v>1505</v>
      </c>
    </row>
    <row r="145" spans="1:15">
      <c r="A145" t="s">
        <v>1296</v>
      </c>
      <c r="B145" t="s">
        <v>1506</v>
      </c>
      <c r="C145" s="25" t="str">
        <f t="shared" ref="C145:C176" si="164">CONCATENATE("Airbus","A350")</f>
        <v>AirbusA350</v>
      </c>
      <c r="D145" t="str">
        <f>IF(Ticketsys!D145=CONCATENATE("long","-","haul"," ","flights"),"YES","NO")</f>
        <v>NO</v>
      </c>
      <c r="E145">
        <f t="shared" si="143"/>
        <v>325</v>
      </c>
      <c r="F145">
        <f t="shared" si="144"/>
        <v>65</v>
      </c>
      <c r="G145">
        <f t="shared" si="145"/>
        <v>65</v>
      </c>
      <c r="H145">
        <f t="shared" si="146"/>
        <v>195</v>
      </c>
      <c r="I145" s="27">
        <f t="shared" si="150"/>
        <v>1.4895833333333353</v>
      </c>
      <c r="J145" t="s">
        <v>1612</v>
      </c>
      <c r="K145" s="28">
        <f>Ticketsys!F145</f>
        <v>5.4618055555555722</v>
      </c>
      <c r="L145" s="27">
        <f t="shared" si="147"/>
        <v>6.951388888888907</v>
      </c>
      <c r="M145">
        <f t="shared" si="151"/>
        <v>981</v>
      </c>
      <c r="N145" t="str">
        <f t="shared" si="148"/>
        <v>C981981</v>
      </c>
      <c r="O145" t="s">
        <v>1506</v>
      </c>
    </row>
    <row r="146" spans="1:15">
      <c r="A146" t="s">
        <v>1297</v>
      </c>
      <c r="B146" t="s">
        <v>1507</v>
      </c>
      <c r="C146" s="25" t="str">
        <f t="shared" ref="C146:C177" si="165">CONCATENATE("Airbus","A220")</f>
        <v>AirbusA220</v>
      </c>
      <c r="D146" t="str">
        <f>IF(Ticketsys!D146=CONCATENATE("long","-","haul"," ","flights"),"YES","NO")</f>
        <v>NO</v>
      </c>
      <c r="E146">
        <f t="shared" si="143"/>
        <v>135</v>
      </c>
      <c r="F146">
        <f t="shared" si="144"/>
        <v>27</v>
      </c>
      <c r="G146">
        <f t="shared" si="145"/>
        <v>27</v>
      </c>
      <c r="H146">
        <f t="shared" si="146"/>
        <v>81</v>
      </c>
      <c r="I146" s="27">
        <f t="shared" si="150"/>
        <v>1.500000000000002</v>
      </c>
      <c r="J146" t="s">
        <v>1612</v>
      </c>
      <c r="K146" s="28">
        <f>Ticketsys!F146</f>
        <v>5.5000000000000169</v>
      </c>
      <c r="L146" s="27">
        <f t="shared" si="147"/>
        <v>7.0000000000000187</v>
      </c>
      <c r="M146">
        <f t="shared" si="151"/>
        <v>987</v>
      </c>
      <c r="N146" t="str">
        <f t="shared" si="148"/>
        <v>A987987</v>
      </c>
      <c r="O146" t="s">
        <v>1507</v>
      </c>
    </row>
    <row r="147" spans="1:15">
      <c r="A147" t="s">
        <v>1298</v>
      </c>
      <c r="B147" t="s">
        <v>1508</v>
      </c>
      <c r="C147" s="25" t="str">
        <f t="shared" ref="C147:C178" si="166">CONCATENATE("Airbus","A320")</f>
        <v>AirbusA320</v>
      </c>
      <c r="D147" t="str">
        <f>IF(Ticketsys!D147=CONCATENATE("long","-","haul"," ","flights"),"YES","NO")</f>
        <v>NO</v>
      </c>
      <c r="E147">
        <f t="shared" si="143"/>
        <v>150</v>
      </c>
      <c r="F147">
        <f t="shared" si="144"/>
        <v>30</v>
      </c>
      <c r="G147">
        <f t="shared" si="145"/>
        <v>30</v>
      </c>
      <c r="H147">
        <f t="shared" si="146"/>
        <v>90</v>
      </c>
      <c r="I147" s="27">
        <f t="shared" si="150"/>
        <v>1.5104166666666687</v>
      </c>
      <c r="J147" t="s">
        <v>1612</v>
      </c>
      <c r="K147" s="28">
        <f>Ticketsys!F147</f>
        <v>5.5381944444444615</v>
      </c>
      <c r="L147" s="27">
        <f t="shared" si="147"/>
        <v>7.0486111111111303</v>
      </c>
      <c r="M147">
        <f t="shared" si="151"/>
        <v>993</v>
      </c>
      <c r="N147" t="str">
        <f t="shared" si="148"/>
        <v>B993993</v>
      </c>
      <c r="O147" t="s">
        <v>1508</v>
      </c>
    </row>
    <row r="148" spans="1:15">
      <c r="A148" t="s">
        <v>1299</v>
      </c>
      <c r="B148" t="s">
        <v>1509</v>
      </c>
      <c r="C148" s="25" t="str">
        <f t="shared" ref="C148:C179" si="167">CONCATENATE("Airbus","A350")</f>
        <v>AirbusA350</v>
      </c>
      <c r="D148" t="str">
        <f>IF(Ticketsys!D148=CONCATENATE("long","-","haul"," ","flights"),"YES","NO")</f>
        <v>NO</v>
      </c>
      <c r="E148">
        <f t="shared" si="143"/>
        <v>325</v>
      </c>
      <c r="F148">
        <f t="shared" si="144"/>
        <v>65</v>
      </c>
      <c r="G148">
        <f t="shared" si="145"/>
        <v>65</v>
      </c>
      <c r="H148">
        <f t="shared" si="146"/>
        <v>195</v>
      </c>
      <c r="I148" s="27">
        <f t="shared" si="150"/>
        <v>1.5208333333333355</v>
      </c>
      <c r="J148" t="s">
        <v>1613</v>
      </c>
      <c r="K148" s="28">
        <f>Ticketsys!F148</f>
        <v>5.5763888888889062</v>
      </c>
      <c r="L148" s="27">
        <f t="shared" si="147"/>
        <v>7.0972222222222419</v>
      </c>
      <c r="M148">
        <f t="shared" si="151"/>
        <v>999</v>
      </c>
      <c r="N148" t="str">
        <f t="shared" si="148"/>
        <v>C999999</v>
      </c>
      <c r="O148" t="s">
        <v>1509</v>
      </c>
    </row>
    <row r="149" spans="1:15">
      <c r="A149" t="s">
        <v>1300</v>
      </c>
      <c r="B149" t="s">
        <v>1510</v>
      </c>
      <c r="C149" s="25" t="str">
        <f t="shared" ref="C149:C180" si="168">CONCATENATE("Airbus","A220")</f>
        <v>AirbusA220</v>
      </c>
      <c r="D149" t="str">
        <f>IF(Ticketsys!D149=CONCATENATE("long","-","haul"," ","flights"),"YES","NO")</f>
        <v>NO</v>
      </c>
      <c r="E149">
        <f t="shared" si="143"/>
        <v>135</v>
      </c>
      <c r="F149">
        <f t="shared" si="144"/>
        <v>27</v>
      </c>
      <c r="G149">
        <f t="shared" si="145"/>
        <v>27</v>
      </c>
      <c r="H149">
        <f t="shared" si="146"/>
        <v>81</v>
      </c>
      <c r="I149" s="27">
        <f t="shared" si="150"/>
        <v>1.5312500000000022</v>
      </c>
      <c r="J149" t="s">
        <v>1612</v>
      </c>
      <c r="K149" s="28">
        <f>Ticketsys!F149</f>
        <v>5.6145833333333508</v>
      </c>
      <c r="L149" s="27">
        <f t="shared" si="147"/>
        <v>7.1458333333333535</v>
      </c>
      <c r="M149">
        <f t="shared" si="151"/>
        <v>1005</v>
      </c>
      <c r="N149" t="str">
        <f t="shared" si="148"/>
        <v>D10051005</v>
      </c>
      <c r="O149" t="s">
        <v>1510</v>
      </c>
    </row>
    <row r="150" spans="1:15">
      <c r="A150" t="s">
        <v>1301</v>
      </c>
      <c r="B150" t="s">
        <v>1511</v>
      </c>
      <c r="C150" s="25" t="str">
        <f t="shared" ref="C150:C181" si="169">CONCATENATE("Airbus","A320")</f>
        <v>AirbusA320</v>
      </c>
      <c r="D150" t="str">
        <f>IF(Ticketsys!D150=CONCATENATE("long","-","haul"," ","flights"),"YES","NO")</f>
        <v>NO</v>
      </c>
      <c r="E150">
        <f t="shared" si="143"/>
        <v>150</v>
      </c>
      <c r="F150">
        <f t="shared" si="144"/>
        <v>30</v>
      </c>
      <c r="G150">
        <f t="shared" si="145"/>
        <v>30</v>
      </c>
      <c r="H150">
        <f t="shared" si="146"/>
        <v>90</v>
      </c>
      <c r="I150" s="27">
        <f t="shared" si="150"/>
        <v>1.541666666666669</v>
      </c>
      <c r="J150" t="s">
        <v>1614</v>
      </c>
      <c r="K150" s="28">
        <f>Ticketsys!F150</f>
        <v>5.6527777777777954</v>
      </c>
      <c r="L150" s="27">
        <f t="shared" si="147"/>
        <v>7.1944444444444642</v>
      </c>
      <c r="M150">
        <f t="shared" si="151"/>
        <v>1011</v>
      </c>
      <c r="N150" t="str">
        <f t="shared" si="148"/>
        <v>E10111011</v>
      </c>
      <c r="O150" t="s">
        <v>1511</v>
      </c>
    </row>
    <row r="151" spans="1:15">
      <c r="A151" t="s">
        <v>1302</v>
      </c>
      <c r="B151" t="s">
        <v>1512</v>
      </c>
      <c r="C151" s="25" t="str">
        <f t="shared" ref="C151:C182" si="170">CONCATENATE("Airbus","A350")</f>
        <v>AirbusA350</v>
      </c>
      <c r="D151" t="str">
        <f>IF(Ticketsys!D151=CONCATENATE("long","-","haul"," ","flights"),"YES","NO")</f>
        <v>NO</v>
      </c>
      <c r="E151">
        <f t="shared" si="143"/>
        <v>325</v>
      </c>
      <c r="F151">
        <f t="shared" si="144"/>
        <v>65</v>
      </c>
      <c r="G151">
        <f t="shared" si="145"/>
        <v>65</v>
      </c>
      <c r="H151">
        <f t="shared" si="146"/>
        <v>195</v>
      </c>
      <c r="I151" s="27">
        <f t="shared" si="150"/>
        <v>1.5520833333333357</v>
      </c>
      <c r="J151" t="s">
        <v>1614</v>
      </c>
      <c r="K151" s="28">
        <f>Ticketsys!F151</f>
        <v>5.6909722222222401</v>
      </c>
      <c r="L151" s="27">
        <f t="shared" si="147"/>
        <v>7.2430555555555758</v>
      </c>
      <c r="M151">
        <f t="shared" si="151"/>
        <v>1017</v>
      </c>
      <c r="N151" t="str">
        <f t="shared" si="148"/>
        <v>C10171017</v>
      </c>
      <c r="O151" t="s">
        <v>1512</v>
      </c>
    </row>
    <row r="152" spans="1:15">
      <c r="A152" t="s">
        <v>1303</v>
      </c>
      <c r="B152" t="s">
        <v>1513</v>
      </c>
      <c r="C152" s="25" t="str">
        <f t="shared" ref="C152:C183" si="171">CONCATENATE("Airbus","A220")</f>
        <v>AirbusA220</v>
      </c>
      <c r="D152" t="str">
        <f>IF(Ticketsys!D152=CONCATENATE("long","-","haul"," ","flights"),"YES","NO")</f>
        <v>NO</v>
      </c>
      <c r="E152">
        <f t="shared" si="143"/>
        <v>135</v>
      </c>
      <c r="F152">
        <f t="shared" si="144"/>
        <v>27</v>
      </c>
      <c r="G152">
        <f t="shared" si="145"/>
        <v>27</v>
      </c>
      <c r="H152">
        <f t="shared" si="146"/>
        <v>81</v>
      </c>
      <c r="I152" s="27">
        <f t="shared" si="150"/>
        <v>1.5625000000000024</v>
      </c>
      <c r="J152" t="s">
        <v>1614</v>
      </c>
      <c r="K152" s="28">
        <f>Ticketsys!F152</f>
        <v>5.7291666666666847</v>
      </c>
      <c r="L152" s="27">
        <f t="shared" si="147"/>
        <v>7.2916666666666874</v>
      </c>
      <c r="M152">
        <f t="shared" si="151"/>
        <v>1023</v>
      </c>
      <c r="N152" t="str">
        <f t="shared" si="148"/>
        <v>A10231023</v>
      </c>
      <c r="O152" t="s">
        <v>1513</v>
      </c>
    </row>
    <row r="153" spans="1:15">
      <c r="A153" t="s">
        <v>1304</v>
      </c>
      <c r="B153" t="s">
        <v>1514</v>
      </c>
      <c r="C153" s="25" t="str">
        <f t="shared" ref="C153:C184" si="172">CONCATENATE("Airbus","A320")</f>
        <v>AirbusA320</v>
      </c>
      <c r="D153" t="str">
        <f>IF(Ticketsys!D153=CONCATENATE("long","-","haul"," ","flights"),"YES","NO")</f>
        <v>NO</v>
      </c>
      <c r="E153">
        <f t="shared" si="143"/>
        <v>150</v>
      </c>
      <c r="F153">
        <f t="shared" si="144"/>
        <v>30</v>
      </c>
      <c r="G153">
        <f t="shared" si="145"/>
        <v>30</v>
      </c>
      <c r="H153">
        <f t="shared" si="146"/>
        <v>90</v>
      </c>
      <c r="I153" s="27">
        <f t="shared" si="150"/>
        <v>1.5729166666666692</v>
      </c>
      <c r="J153" t="s">
        <v>1614</v>
      </c>
      <c r="K153" s="28">
        <f>Ticketsys!F153</f>
        <v>5.7673611111111294</v>
      </c>
      <c r="L153" s="27">
        <f t="shared" si="147"/>
        <v>7.3402777777777981</v>
      </c>
      <c r="M153">
        <f t="shared" si="151"/>
        <v>1029</v>
      </c>
      <c r="N153" t="str">
        <f t="shared" si="148"/>
        <v>B10291029</v>
      </c>
      <c r="O153" t="s">
        <v>1514</v>
      </c>
    </row>
    <row r="154" spans="1:15">
      <c r="A154" t="s">
        <v>1305</v>
      </c>
      <c r="B154" t="s">
        <v>1515</v>
      </c>
      <c r="C154" s="25" t="str">
        <f t="shared" ref="C154:C201" si="173">CONCATENATE("Airbus","A350")</f>
        <v>AirbusA350</v>
      </c>
      <c r="D154" t="str">
        <f>IF(Ticketsys!D154=CONCATENATE("long","-","haul"," ","flights"),"YES","NO")</f>
        <v>NO</v>
      </c>
      <c r="E154">
        <f t="shared" si="143"/>
        <v>325</v>
      </c>
      <c r="F154">
        <f t="shared" si="144"/>
        <v>65</v>
      </c>
      <c r="G154">
        <f t="shared" si="145"/>
        <v>65</v>
      </c>
      <c r="H154">
        <f t="shared" si="146"/>
        <v>195</v>
      </c>
      <c r="I154" s="27">
        <f t="shared" si="150"/>
        <v>1.5833333333333359</v>
      </c>
      <c r="J154" t="s">
        <v>1614</v>
      </c>
      <c r="K154" s="28">
        <f>Ticketsys!F154</f>
        <v>5.805555555555574</v>
      </c>
      <c r="L154" s="27">
        <f t="shared" si="147"/>
        <v>7.3888888888889097</v>
      </c>
      <c r="M154">
        <f t="shared" si="151"/>
        <v>1035</v>
      </c>
      <c r="N154" t="str">
        <f t="shared" si="148"/>
        <v>C10351035</v>
      </c>
      <c r="O154" t="s">
        <v>1515</v>
      </c>
    </row>
    <row r="155" spans="1:15">
      <c r="A155" t="s">
        <v>1306</v>
      </c>
      <c r="B155" t="s">
        <v>1516</v>
      </c>
      <c r="C155" s="25" t="str">
        <f t="shared" ref="C155:C201" si="174">CONCATENATE("Airbus","A220")</f>
        <v>AirbusA220</v>
      </c>
      <c r="D155" t="str">
        <f>IF(Ticketsys!D155=CONCATENATE("long","-","haul"," ","flights"),"YES","NO")</f>
        <v>NO</v>
      </c>
      <c r="E155">
        <f t="shared" si="143"/>
        <v>135</v>
      </c>
      <c r="F155">
        <f t="shared" si="144"/>
        <v>27</v>
      </c>
      <c r="G155">
        <f t="shared" si="145"/>
        <v>27</v>
      </c>
      <c r="H155">
        <f t="shared" si="146"/>
        <v>81</v>
      </c>
      <c r="I155" s="27">
        <f t="shared" si="150"/>
        <v>1.5937500000000027</v>
      </c>
      <c r="J155" t="s">
        <v>1612</v>
      </c>
      <c r="K155" s="28">
        <f>Ticketsys!F155</f>
        <v>5.8437500000000187</v>
      </c>
      <c r="L155" s="27">
        <f t="shared" si="147"/>
        <v>7.4375000000000213</v>
      </c>
      <c r="M155">
        <f t="shared" si="151"/>
        <v>1041</v>
      </c>
      <c r="N155" t="str">
        <f t="shared" si="148"/>
        <v>A10411041</v>
      </c>
      <c r="O155" t="s">
        <v>1516</v>
      </c>
    </row>
    <row r="156" spans="1:15">
      <c r="A156" t="s">
        <v>1307</v>
      </c>
      <c r="B156" t="s">
        <v>1517</v>
      </c>
      <c r="C156" s="25" t="str">
        <f t="shared" ref="C156:C201" si="175">CONCATENATE("Airbus","A320")</f>
        <v>AirbusA320</v>
      </c>
      <c r="D156" t="str">
        <f>IF(Ticketsys!D156=CONCATENATE("long","-","haul"," ","flights"),"YES","NO")</f>
        <v>NO</v>
      </c>
      <c r="E156">
        <f t="shared" si="143"/>
        <v>150</v>
      </c>
      <c r="F156">
        <f t="shared" si="144"/>
        <v>30</v>
      </c>
      <c r="G156">
        <f t="shared" si="145"/>
        <v>30</v>
      </c>
      <c r="H156">
        <f t="shared" si="146"/>
        <v>90</v>
      </c>
      <c r="I156" s="27">
        <f t="shared" si="150"/>
        <v>1.6041666666666694</v>
      </c>
      <c r="J156" t="s">
        <v>1614</v>
      </c>
      <c r="K156" s="28">
        <f>Ticketsys!F156</f>
        <v>5.8819444444444633</v>
      </c>
      <c r="L156" s="27">
        <f t="shared" si="147"/>
        <v>7.4861111111111329</v>
      </c>
      <c r="M156">
        <f t="shared" si="151"/>
        <v>1047</v>
      </c>
      <c r="N156" t="str">
        <f t="shared" si="148"/>
        <v>B10471047</v>
      </c>
      <c r="O156" t="s">
        <v>1517</v>
      </c>
    </row>
    <row r="157" spans="1:15">
      <c r="A157" t="s">
        <v>1308</v>
      </c>
      <c r="B157" t="s">
        <v>1518</v>
      </c>
      <c r="C157" s="25" t="str">
        <f t="shared" ref="C157:C201" si="176">CONCATENATE("Airbus","A350")</f>
        <v>AirbusA350</v>
      </c>
      <c r="D157" t="str">
        <f>IF(Ticketsys!D157=CONCATENATE("long","-","haul"," ","flights"),"YES","NO")</f>
        <v>NO</v>
      </c>
      <c r="E157">
        <f t="shared" si="143"/>
        <v>325</v>
      </c>
      <c r="F157">
        <f t="shared" si="144"/>
        <v>65</v>
      </c>
      <c r="G157">
        <f t="shared" si="145"/>
        <v>65</v>
      </c>
      <c r="H157">
        <f t="shared" si="146"/>
        <v>195</v>
      </c>
      <c r="I157" s="27">
        <f t="shared" si="150"/>
        <v>1.6145833333333361</v>
      </c>
      <c r="J157" t="s">
        <v>1612</v>
      </c>
      <c r="K157" s="28">
        <f>Ticketsys!F157</f>
        <v>5.9201388888889079</v>
      </c>
      <c r="L157" s="27">
        <f t="shared" si="147"/>
        <v>7.5347222222222445</v>
      </c>
      <c r="M157">
        <f t="shared" si="151"/>
        <v>1053</v>
      </c>
      <c r="N157" t="str">
        <f t="shared" si="148"/>
        <v>C10531053</v>
      </c>
      <c r="O157" t="s">
        <v>1518</v>
      </c>
    </row>
    <row r="158" spans="1:15">
      <c r="A158" t="s">
        <v>1309</v>
      </c>
      <c r="B158" t="s">
        <v>1519</v>
      </c>
      <c r="C158" s="25" t="str">
        <f t="shared" ref="C158:C201" si="177">CONCATENATE("Airbus","A220")</f>
        <v>AirbusA220</v>
      </c>
      <c r="D158" t="str">
        <f>IF(Ticketsys!D158=CONCATENATE("long","-","haul"," ","flights"),"YES","NO")</f>
        <v>NO</v>
      </c>
      <c r="E158">
        <f t="shared" si="143"/>
        <v>135</v>
      </c>
      <c r="F158">
        <f t="shared" si="144"/>
        <v>27</v>
      </c>
      <c r="G158">
        <f t="shared" si="145"/>
        <v>27</v>
      </c>
      <c r="H158">
        <f t="shared" si="146"/>
        <v>81</v>
      </c>
      <c r="I158" s="27">
        <f t="shared" si="150"/>
        <v>1.6250000000000029</v>
      </c>
      <c r="J158" t="s">
        <v>1612</v>
      </c>
      <c r="K158" s="28">
        <f>Ticketsys!F158</f>
        <v>5.9583333333333526</v>
      </c>
      <c r="L158" s="27">
        <f t="shared" si="147"/>
        <v>7.5833333333333552</v>
      </c>
      <c r="M158">
        <f t="shared" si="151"/>
        <v>1059</v>
      </c>
      <c r="N158" t="str">
        <f t="shared" si="148"/>
        <v>D10591059</v>
      </c>
      <c r="O158" t="s">
        <v>1519</v>
      </c>
    </row>
    <row r="159" spans="1:15">
      <c r="A159" t="s">
        <v>1310</v>
      </c>
      <c r="B159" t="s">
        <v>1520</v>
      </c>
      <c r="C159" s="25" t="str">
        <f t="shared" ref="C159:C201" si="178">CONCATENATE("Airbus","A320")</f>
        <v>AirbusA320</v>
      </c>
      <c r="D159" t="str">
        <f>IF(Ticketsys!D159=CONCATENATE("long","-","haul"," ","flights"),"YES","NO")</f>
        <v>NO</v>
      </c>
      <c r="E159">
        <f t="shared" si="143"/>
        <v>150</v>
      </c>
      <c r="F159">
        <f t="shared" si="144"/>
        <v>30</v>
      </c>
      <c r="G159">
        <f t="shared" si="145"/>
        <v>30</v>
      </c>
      <c r="H159">
        <f t="shared" si="146"/>
        <v>90</v>
      </c>
      <c r="I159" s="27">
        <f t="shared" si="150"/>
        <v>1.6354166666666696</v>
      </c>
      <c r="J159" t="s">
        <v>1614</v>
      </c>
      <c r="K159" s="28">
        <f>Ticketsys!F159</f>
        <v>5.9965277777777972</v>
      </c>
      <c r="L159" s="27">
        <f t="shared" si="147"/>
        <v>7.6319444444444668</v>
      </c>
      <c r="M159">
        <f t="shared" si="151"/>
        <v>1065</v>
      </c>
      <c r="N159" t="str">
        <f t="shared" si="148"/>
        <v>E10651065</v>
      </c>
      <c r="O159" t="s">
        <v>1520</v>
      </c>
    </row>
    <row r="160" spans="1:15">
      <c r="A160" t="s">
        <v>1311</v>
      </c>
      <c r="B160" t="s">
        <v>1521</v>
      </c>
      <c r="C160" s="25" t="str">
        <f t="shared" ref="C160:C201" si="179">CONCATENATE("Airbus","A350")</f>
        <v>AirbusA350</v>
      </c>
      <c r="D160" t="str">
        <f>IF(Ticketsys!D160=CONCATENATE("long","-","haul"," ","flights"),"YES","NO")</f>
        <v>NO</v>
      </c>
      <c r="E160">
        <f t="shared" si="143"/>
        <v>325</v>
      </c>
      <c r="F160">
        <f t="shared" si="144"/>
        <v>65</v>
      </c>
      <c r="G160">
        <f t="shared" si="145"/>
        <v>65</v>
      </c>
      <c r="H160">
        <f t="shared" si="146"/>
        <v>195</v>
      </c>
      <c r="I160" s="27">
        <f t="shared" si="150"/>
        <v>1.6458333333333364</v>
      </c>
      <c r="J160" t="s">
        <v>1612</v>
      </c>
      <c r="K160" s="28">
        <f>Ticketsys!F160</f>
        <v>6.0347222222222419</v>
      </c>
      <c r="L160" s="27">
        <f t="shared" si="147"/>
        <v>7.6805555555555785</v>
      </c>
      <c r="M160">
        <f t="shared" si="151"/>
        <v>1071</v>
      </c>
      <c r="N160" t="str">
        <f t="shared" si="148"/>
        <v>C10711071</v>
      </c>
      <c r="O160" t="s">
        <v>1521</v>
      </c>
    </row>
    <row r="161" spans="1:15">
      <c r="A161" t="s">
        <v>1312</v>
      </c>
      <c r="B161" t="s">
        <v>1522</v>
      </c>
      <c r="C161" s="25" t="str">
        <f t="shared" ref="C161:C201" si="180">CONCATENATE("Airbus","A220")</f>
        <v>AirbusA220</v>
      </c>
      <c r="D161" t="str">
        <f>IF(Ticketsys!D161=CONCATENATE("long","-","haul"," ","flights"),"YES","NO")</f>
        <v>NO</v>
      </c>
      <c r="E161">
        <f t="shared" si="143"/>
        <v>135</v>
      </c>
      <c r="F161">
        <f t="shared" si="144"/>
        <v>27</v>
      </c>
      <c r="G161">
        <f t="shared" si="145"/>
        <v>27</v>
      </c>
      <c r="H161">
        <f t="shared" si="146"/>
        <v>81</v>
      </c>
      <c r="I161" s="27">
        <f t="shared" si="150"/>
        <v>1.6562500000000031</v>
      </c>
      <c r="J161" t="s">
        <v>1613</v>
      </c>
      <c r="K161" s="28">
        <f>Ticketsys!F161</f>
        <v>6.0729166666666865</v>
      </c>
      <c r="L161" s="27">
        <f t="shared" si="147"/>
        <v>7.7291666666666892</v>
      </c>
      <c r="M161">
        <f t="shared" si="151"/>
        <v>1077</v>
      </c>
      <c r="N161" t="str">
        <f t="shared" si="148"/>
        <v>A10771077</v>
      </c>
      <c r="O161" t="s">
        <v>1522</v>
      </c>
    </row>
    <row r="162" spans="1:15">
      <c r="A162" t="s">
        <v>1313</v>
      </c>
      <c r="B162" t="s">
        <v>1523</v>
      </c>
      <c r="C162" s="25" t="str">
        <f t="shared" ref="C162:C201" si="181">CONCATENATE("Airbus","A320")</f>
        <v>AirbusA320</v>
      </c>
      <c r="D162" t="str">
        <f>IF(Ticketsys!D162=CONCATENATE("long","-","haul"," ","flights"),"YES","NO")</f>
        <v>NO</v>
      </c>
      <c r="E162">
        <f t="shared" si="143"/>
        <v>150</v>
      </c>
      <c r="F162">
        <f t="shared" si="144"/>
        <v>30</v>
      </c>
      <c r="G162">
        <f t="shared" si="145"/>
        <v>30</v>
      </c>
      <c r="H162">
        <f t="shared" si="146"/>
        <v>90</v>
      </c>
      <c r="I162" s="27">
        <f t="shared" si="150"/>
        <v>1.6666666666666698</v>
      </c>
      <c r="J162" t="s">
        <v>1612</v>
      </c>
      <c r="K162" s="28">
        <f>Ticketsys!F162</f>
        <v>6.1111111111111311</v>
      </c>
      <c r="L162" s="27">
        <f t="shared" si="147"/>
        <v>7.7777777777778008</v>
      </c>
      <c r="M162">
        <f t="shared" si="151"/>
        <v>1083</v>
      </c>
      <c r="N162" t="str">
        <f t="shared" si="148"/>
        <v>B10831083</v>
      </c>
      <c r="O162" t="s">
        <v>1523</v>
      </c>
    </row>
    <row r="163" spans="1:15">
      <c r="A163" t="s">
        <v>1314</v>
      </c>
      <c r="B163" t="s">
        <v>1524</v>
      </c>
      <c r="C163" s="25" t="str">
        <f t="shared" ref="C163:C201" si="182">CONCATENATE("Airbus","A350")</f>
        <v>AirbusA350</v>
      </c>
      <c r="D163" t="str">
        <f>IF(Ticketsys!D163=CONCATENATE("long","-","haul"," ","flights"),"YES","NO")</f>
        <v>NO</v>
      </c>
      <c r="E163">
        <f t="shared" si="143"/>
        <v>325</v>
      </c>
      <c r="F163">
        <f t="shared" si="144"/>
        <v>65</v>
      </c>
      <c r="G163">
        <f t="shared" si="145"/>
        <v>65</v>
      </c>
      <c r="H163">
        <f t="shared" si="146"/>
        <v>195</v>
      </c>
      <c r="I163" s="27">
        <f t="shared" si="150"/>
        <v>1.6770833333333366</v>
      </c>
      <c r="J163" t="s">
        <v>1614</v>
      </c>
      <c r="K163" s="28">
        <f>Ticketsys!F163</f>
        <v>6.1493055555555758</v>
      </c>
      <c r="L163" s="27">
        <f t="shared" si="147"/>
        <v>7.8263888888889124</v>
      </c>
      <c r="M163">
        <f t="shared" si="151"/>
        <v>1089</v>
      </c>
      <c r="N163" t="str">
        <f t="shared" si="148"/>
        <v>C10891089</v>
      </c>
      <c r="O163" t="s">
        <v>1524</v>
      </c>
    </row>
    <row r="164" spans="1:15">
      <c r="A164" t="s">
        <v>1315</v>
      </c>
      <c r="B164" t="s">
        <v>1525</v>
      </c>
      <c r="C164" s="25" t="str">
        <f t="shared" ref="C164:C201" si="183">CONCATENATE("Airbus","A220")</f>
        <v>AirbusA220</v>
      </c>
      <c r="D164" t="str">
        <f>IF(Ticketsys!D164=CONCATENATE("long","-","haul"," ","flights"),"YES","NO")</f>
        <v>NO</v>
      </c>
      <c r="E164">
        <f t="shared" si="143"/>
        <v>135</v>
      </c>
      <c r="F164">
        <f t="shared" si="144"/>
        <v>27</v>
      </c>
      <c r="G164">
        <f t="shared" si="145"/>
        <v>27</v>
      </c>
      <c r="H164">
        <f t="shared" si="146"/>
        <v>81</v>
      </c>
      <c r="I164" s="27">
        <f t="shared" si="150"/>
        <v>1.6875000000000033</v>
      </c>
      <c r="J164" t="s">
        <v>1614</v>
      </c>
      <c r="K164" s="28">
        <f>Ticketsys!F164</f>
        <v>6.1875000000000204</v>
      </c>
      <c r="L164" s="27">
        <f t="shared" si="147"/>
        <v>7.875000000000024</v>
      </c>
      <c r="M164">
        <f t="shared" si="151"/>
        <v>1095</v>
      </c>
      <c r="N164" t="str">
        <f t="shared" si="148"/>
        <v>A10951095</v>
      </c>
      <c r="O164" t="s">
        <v>1525</v>
      </c>
    </row>
    <row r="165" spans="1:15">
      <c r="A165" t="s">
        <v>1316</v>
      </c>
      <c r="B165" t="s">
        <v>1526</v>
      </c>
      <c r="C165" s="25" t="str">
        <f t="shared" ref="C165:C201" si="184">CONCATENATE("Airbus","A320")</f>
        <v>AirbusA320</v>
      </c>
      <c r="D165" t="str">
        <f>IF(Ticketsys!D165=CONCATENATE("long","-","haul"," ","flights"),"YES","NO")</f>
        <v>NO</v>
      </c>
      <c r="E165">
        <f t="shared" si="143"/>
        <v>150</v>
      </c>
      <c r="F165">
        <f t="shared" si="144"/>
        <v>30</v>
      </c>
      <c r="G165">
        <f t="shared" si="145"/>
        <v>30</v>
      </c>
      <c r="H165">
        <f t="shared" si="146"/>
        <v>90</v>
      </c>
      <c r="I165" s="27">
        <f t="shared" si="150"/>
        <v>1.6979166666666701</v>
      </c>
      <c r="J165" t="s">
        <v>1614</v>
      </c>
      <c r="K165" s="28">
        <f>Ticketsys!F165</f>
        <v>6.2256944444444651</v>
      </c>
      <c r="L165" s="27">
        <f t="shared" si="147"/>
        <v>7.9236111111111356</v>
      </c>
      <c r="M165">
        <f t="shared" si="151"/>
        <v>1101</v>
      </c>
      <c r="N165" t="str">
        <f t="shared" si="148"/>
        <v>B11011101</v>
      </c>
      <c r="O165" t="s">
        <v>1526</v>
      </c>
    </row>
    <row r="166" spans="1:15">
      <c r="A166" t="s">
        <v>1317</v>
      </c>
      <c r="B166" t="s">
        <v>1527</v>
      </c>
      <c r="C166" s="25" t="str">
        <f t="shared" ref="C166:C201" si="185">CONCATENATE("Airbus","A350")</f>
        <v>AirbusA350</v>
      </c>
      <c r="D166" t="str">
        <f>IF(Ticketsys!D166=CONCATENATE("long","-","haul"," ","flights"),"YES","NO")</f>
        <v>NO</v>
      </c>
      <c r="E166">
        <f t="shared" si="143"/>
        <v>325</v>
      </c>
      <c r="F166">
        <f t="shared" si="144"/>
        <v>65</v>
      </c>
      <c r="G166">
        <f t="shared" si="145"/>
        <v>65</v>
      </c>
      <c r="H166">
        <f t="shared" si="146"/>
        <v>195</v>
      </c>
      <c r="I166" s="27">
        <f t="shared" si="150"/>
        <v>1.7083333333333368</v>
      </c>
      <c r="J166" t="s">
        <v>1614</v>
      </c>
      <c r="K166" s="28">
        <f>Ticketsys!F166</f>
        <v>6.2638888888889097</v>
      </c>
      <c r="L166" s="27">
        <f t="shared" si="147"/>
        <v>7.9722222222222463</v>
      </c>
      <c r="M166">
        <f t="shared" si="151"/>
        <v>1107</v>
      </c>
      <c r="N166" t="str">
        <f t="shared" si="148"/>
        <v>C11071107</v>
      </c>
      <c r="O166" t="s">
        <v>1527</v>
      </c>
    </row>
    <row r="167" spans="1:15">
      <c r="A167" t="s">
        <v>1318</v>
      </c>
      <c r="B167" t="s">
        <v>1528</v>
      </c>
      <c r="C167" s="25" t="str">
        <f t="shared" ref="C167:C201" si="186">CONCATENATE("Airbus","A220")</f>
        <v>AirbusA220</v>
      </c>
      <c r="D167" t="str">
        <f>IF(Ticketsys!D167=CONCATENATE("long","-","haul"," ","flights"),"YES","NO")</f>
        <v>NO</v>
      </c>
      <c r="E167">
        <f t="shared" si="143"/>
        <v>135</v>
      </c>
      <c r="F167">
        <f t="shared" si="144"/>
        <v>27</v>
      </c>
      <c r="G167">
        <f t="shared" si="145"/>
        <v>27</v>
      </c>
      <c r="H167">
        <f t="shared" si="146"/>
        <v>81</v>
      </c>
      <c r="I167" s="27">
        <f t="shared" si="150"/>
        <v>1.7187500000000036</v>
      </c>
      <c r="J167" t="s">
        <v>1614</v>
      </c>
      <c r="K167" s="28">
        <f>Ticketsys!F167</f>
        <v>6.3020833333333544</v>
      </c>
      <c r="L167" s="27">
        <f t="shared" si="147"/>
        <v>8.020833333333357</v>
      </c>
      <c r="M167">
        <f t="shared" si="151"/>
        <v>1113</v>
      </c>
      <c r="N167" t="str">
        <f t="shared" si="148"/>
        <v>D11131113</v>
      </c>
      <c r="O167" t="s">
        <v>1528</v>
      </c>
    </row>
    <row r="168" spans="1:15">
      <c r="A168" t="s">
        <v>1319</v>
      </c>
      <c r="B168" t="s">
        <v>1529</v>
      </c>
      <c r="C168" s="25" t="str">
        <f t="shared" ref="C168:C201" si="187">CONCATENATE("Airbus","A320")</f>
        <v>AirbusA320</v>
      </c>
      <c r="D168" t="str">
        <f>IF(Ticketsys!D168=CONCATENATE("long","-","haul"," ","flights"),"YES","NO")</f>
        <v>YES</v>
      </c>
      <c r="E168">
        <f t="shared" si="143"/>
        <v>150</v>
      </c>
      <c r="F168">
        <f t="shared" si="144"/>
        <v>30</v>
      </c>
      <c r="G168">
        <f t="shared" si="145"/>
        <v>30</v>
      </c>
      <c r="H168">
        <f t="shared" si="146"/>
        <v>90</v>
      </c>
      <c r="I168" s="27">
        <f t="shared" si="150"/>
        <v>1.7291666666666703</v>
      </c>
      <c r="J168" t="s">
        <v>1612</v>
      </c>
      <c r="K168" s="28">
        <f>Ticketsys!F168</f>
        <v>6.340277777777799</v>
      </c>
      <c r="L168" s="27">
        <f t="shared" si="147"/>
        <v>8.0694444444444695</v>
      </c>
      <c r="M168">
        <f t="shared" si="151"/>
        <v>1119</v>
      </c>
      <c r="N168" t="str">
        <f t="shared" si="148"/>
        <v>E11191119</v>
      </c>
      <c r="O168" t="s">
        <v>1529</v>
      </c>
    </row>
    <row r="169" spans="1:15">
      <c r="A169" t="s">
        <v>1320</v>
      </c>
      <c r="B169" t="s">
        <v>1530</v>
      </c>
      <c r="C169" s="25" t="str">
        <f t="shared" ref="C169:C201" si="188">CONCATENATE("Airbus","A350")</f>
        <v>AirbusA350</v>
      </c>
      <c r="D169" t="str">
        <f>IF(Ticketsys!D169=CONCATENATE("long","-","haul"," ","flights"),"YES","NO")</f>
        <v>YES</v>
      </c>
      <c r="E169">
        <f t="shared" si="143"/>
        <v>325</v>
      </c>
      <c r="F169">
        <f t="shared" si="144"/>
        <v>65</v>
      </c>
      <c r="G169">
        <f t="shared" si="145"/>
        <v>65</v>
      </c>
      <c r="H169">
        <f t="shared" si="146"/>
        <v>195</v>
      </c>
      <c r="I169" s="27">
        <f t="shared" si="150"/>
        <v>1.739583333333337</v>
      </c>
      <c r="J169" t="s">
        <v>1614</v>
      </c>
      <c r="K169" s="28">
        <f>Ticketsys!F169</f>
        <v>6.3784722222222436</v>
      </c>
      <c r="L169" s="27">
        <f t="shared" si="147"/>
        <v>8.1180555555555802</v>
      </c>
      <c r="M169">
        <f t="shared" si="151"/>
        <v>1125</v>
      </c>
      <c r="N169" t="str">
        <f t="shared" si="148"/>
        <v>C11251125</v>
      </c>
      <c r="O169" t="s">
        <v>1530</v>
      </c>
    </row>
    <row r="170" spans="1:15">
      <c r="A170" t="s">
        <v>1321</v>
      </c>
      <c r="B170" t="s">
        <v>1531</v>
      </c>
      <c r="C170" s="25" t="str">
        <f t="shared" ref="C170:C201" si="189">CONCATENATE("Airbus","A220")</f>
        <v>AirbusA220</v>
      </c>
      <c r="D170" t="str">
        <f>IF(Ticketsys!D170=CONCATENATE("long","-","haul"," ","flights"),"YES","NO")</f>
        <v>YES</v>
      </c>
      <c r="E170">
        <f t="shared" si="143"/>
        <v>135</v>
      </c>
      <c r="F170">
        <f t="shared" si="144"/>
        <v>27</v>
      </c>
      <c r="G170">
        <f t="shared" si="145"/>
        <v>27</v>
      </c>
      <c r="H170">
        <f t="shared" si="146"/>
        <v>81</v>
      </c>
      <c r="I170" s="27">
        <f t="shared" si="150"/>
        <v>1.7500000000000038</v>
      </c>
      <c r="J170" t="s">
        <v>1612</v>
      </c>
      <c r="K170" s="28">
        <f>Ticketsys!F170</f>
        <v>6.4166666666666883</v>
      </c>
      <c r="L170" s="27">
        <f t="shared" si="147"/>
        <v>8.1666666666666927</v>
      </c>
      <c r="M170">
        <f t="shared" si="151"/>
        <v>1131</v>
      </c>
      <c r="N170" t="str">
        <f t="shared" si="148"/>
        <v>A11311131</v>
      </c>
      <c r="O170" t="s">
        <v>1531</v>
      </c>
    </row>
    <row r="171" spans="1:15">
      <c r="A171" t="s">
        <v>1322</v>
      </c>
      <c r="B171" t="s">
        <v>1532</v>
      </c>
      <c r="C171" s="25" t="str">
        <f t="shared" ref="C171:C201" si="190">CONCATENATE("Airbus","A320")</f>
        <v>AirbusA320</v>
      </c>
      <c r="D171" t="str">
        <f>IF(Ticketsys!D171=CONCATENATE("long","-","haul"," ","flights"),"YES","NO")</f>
        <v>YES</v>
      </c>
      <c r="E171">
        <f t="shared" si="143"/>
        <v>150</v>
      </c>
      <c r="F171">
        <f t="shared" si="144"/>
        <v>30</v>
      </c>
      <c r="G171">
        <f t="shared" si="145"/>
        <v>30</v>
      </c>
      <c r="H171">
        <f t="shared" si="146"/>
        <v>90</v>
      </c>
      <c r="I171" s="27">
        <f t="shared" si="150"/>
        <v>1.7604166666666705</v>
      </c>
      <c r="J171" t="s">
        <v>1612</v>
      </c>
      <c r="K171" s="28">
        <f>Ticketsys!F171</f>
        <v>6.4548611111111329</v>
      </c>
      <c r="L171" s="27">
        <f t="shared" si="147"/>
        <v>8.2152777777778034</v>
      </c>
      <c r="M171">
        <f t="shared" si="151"/>
        <v>1137</v>
      </c>
      <c r="N171" t="str">
        <f t="shared" si="148"/>
        <v>B11371137</v>
      </c>
      <c r="O171" t="s">
        <v>1532</v>
      </c>
    </row>
    <row r="172" spans="1:15">
      <c r="A172" t="s">
        <v>1323</v>
      </c>
      <c r="B172" t="s">
        <v>1533</v>
      </c>
      <c r="C172" s="25" t="str">
        <f t="shared" ref="C172:C201" si="191">CONCATENATE("Airbus","A350")</f>
        <v>AirbusA350</v>
      </c>
      <c r="D172" t="str">
        <f>IF(Ticketsys!D172=CONCATENATE("long","-","haul"," ","flights"),"YES","NO")</f>
        <v>YES</v>
      </c>
      <c r="E172">
        <f t="shared" si="143"/>
        <v>325</v>
      </c>
      <c r="F172">
        <f t="shared" si="144"/>
        <v>65</v>
      </c>
      <c r="G172">
        <f t="shared" si="145"/>
        <v>65</v>
      </c>
      <c r="H172">
        <f t="shared" si="146"/>
        <v>195</v>
      </c>
      <c r="I172" s="27">
        <f t="shared" si="150"/>
        <v>1.7708333333333373</v>
      </c>
      <c r="J172" t="s">
        <v>1612</v>
      </c>
      <c r="K172" s="28">
        <f>Ticketsys!F172</f>
        <v>6.4930555555555776</v>
      </c>
      <c r="L172" s="27">
        <f t="shared" si="147"/>
        <v>8.2638888888889142</v>
      </c>
      <c r="M172">
        <f t="shared" si="151"/>
        <v>1143</v>
      </c>
      <c r="N172" t="str">
        <f t="shared" si="148"/>
        <v>C11431143</v>
      </c>
      <c r="O172" t="s">
        <v>1533</v>
      </c>
    </row>
    <row r="173" spans="1:15">
      <c r="A173" t="s">
        <v>1324</v>
      </c>
      <c r="B173" t="s">
        <v>1534</v>
      </c>
      <c r="C173" s="25" t="str">
        <f t="shared" ref="C173:C201" si="192">CONCATENATE("Airbus","A220")</f>
        <v>AirbusA220</v>
      </c>
      <c r="D173" t="str">
        <f>IF(Ticketsys!D173=CONCATENATE("long","-","haul"," ","flights"),"YES","NO")</f>
        <v>YES</v>
      </c>
      <c r="E173">
        <f t="shared" si="143"/>
        <v>135</v>
      </c>
      <c r="F173">
        <f t="shared" si="144"/>
        <v>27</v>
      </c>
      <c r="G173">
        <f t="shared" si="145"/>
        <v>27</v>
      </c>
      <c r="H173">
        <f t="shared" si="146"/>
        <v>81</v>
      </c>
      <c r="I173" s="27">
        <f t="shared" si="150"/>
        <v>1.781250000000004</v>
      </c>
      <c r="J173" t="s">
        <v>1613</v>
      </c>
      <c r="K173" s="28">
        <f>Ticketsys!F173</f>
        <v>6.5312500000000222</v>
      </c>
      <c r="L173" s="27">
        <f t="shared" si="147"/>
        <v>8.3125000000000266</v>
      </c>
      <c r="M173">
        <f t="shared" si="151"/>
        <v>1149</v>
      </c>
      <c r="N173" t="str">
        <f t="shared" si="148"/>
        <v>A11491149</v>
      </c>
      <c r="O173" t="s">
        <v>1534</v>
      </c>
    </row>
    <row r="174" spans="1:15">
      <c r="A174" t="s">
        <v>1325</v>
      </c>
      <c r="B174" t="s">
        <v>1535</v>
      </c>
      <c r="C174" s="25" t="str">
        <f t="shared" ref="C174:C201" si="193">CONCATENATE("Airbus","A320")</f>
        <v>AirbusA320</v>
      </c>
      <c r="D174" t="str">
        <f>IF(Ticketsys!D174=CONCATENATE("long","-","haul"," ","flights"),"YES","NO")</f>
        <v>YES</v>
      </c>
      <c r="E174">
        <f t="shared" si="143"/>
        <v>150</v>
      </c>
      <c r="F174">
        <f t="shared" si="144"/>
        <v>30</v>
      </c>
      <c r="G174">
        <f t="shared" si="145"/>
        <v>30</v>
      </c>
      <c r="H174">
        <f t="shared" si="146"/>
        <v>90</v>
      </c>
      <c r="I174" s="27">
        <f t="shared" si="150"/>
        <v>1.7916666666666707</v>
      </c>
      <c r="J174" t="s">
        <v>1612</v>
      </c>
      <c r="K174" s="28">
        <f>Ticketsys!F174</f>
        <v>6.5694444444444668</v>
      </c>
      <c r="L174" s="27">
        <f t="shared" si="147"/>
        <v>8.3611111111111374</v>
      </c>
      <c r="M174">
        <f t="shared" si="151"/>
        <v>1155</v>
      </c>
      <c r="N174" t="str">
        <f t="shared" si="148"/>
        <v>B11551155</v>
      </c>
      <c r="O174" t="s">
        <v>1535</v>
      </c>
    </row>
    <row r="175" spans="1:15">
      <c r="A175" t="s">
        <v>1326</v>
      </c>
      <c r="B175" t="s">
        <v>1536</v>
      </c>
      <c r="C175" s="25" t="str">
        <f t="shared" ref="C175:C201" si="194">CONCATENATE("Airbus","A350")</f>
        <v>AirbusA350</v>
      </c>
      <c r="D175" t="str">
        <f>IF(Ticketsys!D175=CONCATENATE("long","-","haul"," ","flights"),"YES","NO")</f>
        <v>YES</v>
      </c>
      <c r="E175">
        <f t="shared" si="143"/>
        <v>325</v>
      </c>
      <c r="F175">
        <f t="shared" si="144"/>
        <v>65</v>
      </c>
      <c r="G175">
        <f t="shared" si="145"/>
        <v>65</v>
      </c>
      <c r="H175">
        <f t="shared" si="146"/>
        <v>195</v>
      </c>
      <c r="I175" s="27">
        <f t="shared" si="150"/>
        <v>1.8020833333333375</v>
      </c>
      <c r="J175" t="s">
        <v>1614</v>
      </c>
      <c r="K175" s="28">
        <f>Ticketsys!F175</f>
        <v>6.6076388888889115</v>
      </c>
      <c r="L175" s="27">
        <f t="shared" si="147"/>
        <v>8.4097222222222499</v>
      </c>
      <c r="M175">
        <f t="shared" si="151"/>
        <v>1161</v>
      </c>
      <c r="N175" t="str">
        <f t="shared" si="148"/>
        <v>C11611161</v>
      </c>
      <c r="O175" t="s">
        <v>1536</v>
      </c>
    </row>
    <row r="176" spans="1:15">
      <c r="A176" t="s">
        <v>1327</v>
      </c>
      <c r="B176" t="s">
        <v>1537</v>
      </c>
      <c r="C176" s="25" t="str">
        <f t="shared" ref="C176:C201" si="195">CONCATENATE("Airbus","A220")</f>
        <v>AirbusA220</v>
      </c>
      <c r="D176" t="str">
        <f>IF(Ticketsys!D176=CONCATENATE("long","-","haul"," ","flights"),"YES","NO")</f>
        <v>YES</v>
      </c>
      <c r="E176">
        <f t="shared" si="143"/>
        <v>135</v>
      </c>
      <c r="F176">
        <f t="shared" si="144"/>
        <v>27</v>
      </c>
      <c r="G176">
        <f t="shared" si="145"/>
        <v>27</v>
      </c>
      <c r="H176">
        <f t="shared" si="146"/>
        <v>81</v>
      </c>
      <c r="I176" s="27">
        <f t="shared" si="150"/>
        <v>1.8125000000000042</v>
      </c>
      <c r="J176" t="s">
        <v>1614</v>
      </c>
      <c r="K176" s="28">
        <f>Ticketsys!F176</f>
        <v>6.6458333333333561</v>
      </c>
      <c r="L176" s="27">
        <f t="shared" si="147"/>
        <v>8.4583333333333606</v>
      </c>
      <c r="M176">
        <f t="shared" si="151"/>
        <v>1167</v>
      </c>
      <c r="N176" t="str">
        <f t="shared" si="148"/>
        <v>D11671167</v>
      </c>
      <c r="O176" t="s">
        <v>1537</v>
      </c>
    </row>
    <row r="177" spans="1:15">
      <c r="A177" t="s">
        <v>1328</v>
      </c>
      <c r="B177" t="s">
        <v>1538</v>
      </c>
      <c r="C177" s="25" t="str">
        <f t="shared" ref="C177:C201" si="196">CONCATENATE("Airbus","A320")</f>
        <v>AirbusA320</v>
      </c>
      <c r="D177" t="str">
        <f>IF(Ticketsys!D177=CONCATENATE("long","-","haul"," ","flights"),"YES","NO")</f>
        <v>YES</v>
      </c>
      <c r="E177">
        <f t="shared" si="143"/>
        <v>150</v>
      </c>
      <c r="F177">
        <f t="shared" si="144"/>
        <v>30</v>
      </c>
      <c r="G177">
        <f t="shared" si="145"/>
        <v>30</v>
      </c>
      <c r="H177">
        <f t="shared" si="146"/>
        <v>90</v>
      </c>
      <c r="I177" s="27">
        <f t="shared" si="150"/>
        <v>1.822916666666671</v>
      </c>
      <c r="J177" t="s">
        <v>1614</v>
      </c>
      <c r="K177" s="28">
        <f>Ticketsys!F177</f>
        <v>6.6840277777778008</v>
      </c>
      <c r="L177" s="27">
        <f t="shared" si="147"/>
        <v>8.5069444444444713</v>
      </c>
      <c r="M177">
        <f t="shared" si="151"/>
        <v>1173</v>
      </c>
      <c r="N177" t="str">
        <f t="shared" si="148"/>
        <v>E11731173</v>
      </c>
      <c r="O177" t="s">
        <v>1538</v>
      </c>
    </row>
    <row r="178" spans="1:15">
      <c r="A178" t="s">
        <v>1329</v>
      </c>
      <c r="B178" t="s">
        <v>1539</v>
      </c>
      <c r="C178" s="25" t="str">
        <f t="shared" ref="C178:C201" si="197">CONCATENATE("Airbus","A350")</f>
        <v>AirbusA350</v>
      </c>
      <c r="D178" t="str">
        <f>IF(Ticketsys!D178=CONCATENATE("long","-","haul"," ","flights"),"YES","NO")</f>
        <v>YES</v>
      </c>
      <c r="E178">
        <f t="shared" si="143"/>
        <v>325</v>
      </c>
      <c r="F178">
        <f t="shared" si="144"/>
        <v>65</v>
      </c>
      <c r="G178">
        <f t="shared" si="145"/>
        <v>65</v>
      </c>
      <c r="H178">
        <f t="shared" si="146"/>
        <v>195</v>
      </c>
      <c r="I178" s="27">
        <f t="shared" si="150"/>
        <v>1.8333333333333377</v>
      </c>
      <c r="J178" t="s">
        <v>1614</v>
      </c>
      <c r="K178" s="28">
        <f>Ticketsys!F178</f>
        <v>6.7222222222222454</v>
      </c>
      <c r="L178" s="27">
        <f t="shared" si="147"/>
        <v>8.5555555555555838</v>
      </c>
      <c r="M178">
        <f t="shared" si="151"/>
        <v>1179</v>
      </c>
      <c r="N178" t="str">
        <f t="shared" si="148"/>
        <v>C11791179</v>
      </c>
      <c r="O178" t="s">
        <v>1539</v>
      </c>
    </row>
    <row r="179" spans="1:15">
      <c r="A179" t="s">
        <v>1330</v>
      </c>
      <c r="B179" t="s">
        <v>1540</v>
      </c>
      <c r="C179" s="25" t="str">
        <f t="shared" ref="C179:C201" si="198">CONCATENATE("Airbus","A220")</f>
        <v>AirbusA220</v>
      </c>
      <c r="D179" t="str">
        <f>IF(Ticketsys!D179=CONCATENATE("long","-","haul"," ","flights"),"YES","NO")</f>
        <v>YES</v>
      </c>
      <c r="E179">
        <f t="shared" si="143"/>
        <v>135</v>
      </c>
      <c r="F179">
        <f t="shared" si="144"/>
        <v>27</v>
      </c>
      <c r="G179">
        <f t="shared" si="145"/>
        <v>27</v>
      </c>
      <c r="H179">
        <f t="shared" si="146"/>
        <v>81</v>
      </c>
      <c r="I179" s="27">
        <f t="shared" si="150"/>
        <v>1.8437500000000044</v>
      </c>
      <c r="J179" t="s">
        <v>1614</v>
      </c>
      <c r="K179" s="28">
        <f>Ticketsys!F179</f>
        <v>6.7604166666666901</v>
      </c>
      <c r="L179" s="27">
        <f t="shared" si="147"/>
        <v>8.6041666666666945</v>
      </c>
      <c r="M179">
        <f t="shared" si="151"/>
        <v>1185</v>
      </c>
      <c r="N179" t="str">
        <f t="shared" si="148"/>
        <v>A11851185</v>
      </c>
      <c r="O179" t="s">
        <v>1540</v>
      </c>
    </row>
    <row r="180" spans="1:15">
      <c r="A180" t="s">
        <v>1331</v>
      </c>
      <c r="B180" t="s">
        <v>1541</v>
      </c>
      <c r="C180" s="25" t="str">
        <f t="shared" ref="C180:C201" si="199">CONCATENATE("Airbus","A320")</f>
        <v>AirbusA320</v>
      </c>
      <c r="D180" t="str">
        <f>IF(Ticketsys!D180=CONCATENATE("long","-","haul"," ","flights"),"YES","NO")</f>
        <v>YES</v>
      </c>
      <c r="E180">
        <f t="shared" si="143"/>
        <v>150</v>
      </c>
      <c r="F180">
        <f t="shared" si="144"/>
        <v>30</v>
      </c>
      <c r="G180">
        <f t="shared" si="145"/>
        <v>30</v>
      </c>
      <c r="H180">
        <f t="shared" si="146"/>
        <v>90</v>
      </c>
      <c r="I180" s="27">
        <f t="shared" si="150"/>
        <v>1.8541666666666712</v>
      </c>
      <c r="J180" t="s">
        <v>1612</v>
      </c>
      <c r="K180" s="28">
        <f>Ticketsys!F180</f>
        <v>6.7986111111111347</v>
      </c>
      <c r="L180" s="27">
        <f t="shared" si="147"/>
        <v>8.6527777777778052</v>
      </c>
      <c r="M180">
        <f t="shared" si="151"/>
        <v>1191</v>
      </c>
      <c r="N180" t="str">
        <f t="shared" si="148"/>
        <v>B11911191</v>
      </c>
      <c r="O180" t="s">
        <v>1541</v>
      </c>
    </row>
    <row r="181" spans="1:15">
      <c r="A181" t="s">
        <v>1332</v>
      </c>
      <c r="B181" t="s">
        <v>1542</v>
      </c>
      <c r="C181" s="25" t="str">
        <f t="shared" ref="C181:C201" si="200">CONCATENATE("Airbus","A350")</f>
        <v>AirbusA350</v>
      </c>
      <c r="D181" t="str">
        <f>IF(Ticketsys!D181=CONCATENATE("long","-","haul"," ","flights"),"YES","NO")</f>
        <v>YES</v>
      </c>
      <c r="E181">
        <f t="shared" si="143"/>
        <v>325</v>
      </c>
      <c r="F181">
        <f t="shared" si="144"/>
        <v>65</v>
      </c>
      <c r="G181">
        <f t="shared" si="145"/>
        <v>65</v>
      </c>
      <c r="H181">
        <f t="shared" si="146"/>
        <v>195</v>
      </c>
      <c r="I181" s="27">
        <f t="shared" si="150"/>
        <v>1.8645833333333379</v>
      </c>
      <c r="J181" t="s">
        <v>1614</v>
      </c>
      <c r="K181" s="28">
        <f>Ticketsys!F181</f>
        <v>6.8368055555555793</v>
      </c>
      <c r="L181" s="27">
        <f t="shared" si="147"/>
        <v>8.7013888888889177</v>
      </c>
      <c r="M181">
        <f t="shared" si="151"/>
        <v>1197</v>
      </c>
      <c r="N181" t="str">
        <f t="shared" si="148"/>
        <v>C11971197</v>
      </c>
      <c r="O181" t="s">
        <v>1542</v>
      </c>
    </row>
    <row r="182" spans="1:15">
      <c r="A182" t="s">
        <v>1333</v>
      </c>
      <c r="B182" t="s">
        <v>1543</v>
      </c>
      <c r="C182" s="25" t="str">
        <f t="shared" ref="C182:C201" si="201">CONCATENATE("Airbus","A220")</f>
        <v>AirbusA220</v>
      </c>
      <c r="D182" t="str">
        <f>IF(Ticketsys!D182=CONCATENATE("long","-","haul"," ","flights"),"YES","NO")</f>
        <v>YES</v>
      </c>
      <c r="E182">
        <f t="shared" si="143"/>
        <v>135</v>
      </c>
      <c r="F182">
        <f t="shared" si="144"/>
        <v>27</v>
      </c>
      <c r="G182">
        <f t="shared" si="145"/>
        <v>27</v>
      </c>
      <c r="H182">
        <f t="shared" si="146"/>
        <v>81</v>
      </c>
      <c r="I182" s="27">
        <f t="shared" si="150"/>
        <v>1.8750000000000047</v>
      </c>
      <c r="J182" t="s">
        <v>1612</v>
      </c>
      <c r="K182" s="28">
        <f>Ticketsys!F182</f>
        <v>6.875000000000024</v>
      </c>
      <c r="L182" s="27">
        <f t="shared" si="147"/>
        <v>8.7500000000000284</v>
      </c>
      <c r="M182">
        <f t="shared" si="151"/>
        <v>1203</v>
      </c>
      <c r="N182" t="str">
        <f t="shared" si="148"/>
        <v>A12031203</v>
      </c>
      <c r="O182" t="s">
        <v>1543</v>
      </c>
    </row>
    <row r="183" spans="1:15">
      <c r="A183" t="s">
        <v>1334</v>
      </c>
      <c r="B183" t="s">
        <v>1544</v>
      </c>
      <c r="C183" s="25" t="str">
        <f t="shared" ref="C183:C201" si="202">CONCATENATE("Airbus","A320")</f>
        <v>AirbusA320</v>
      </c>
      <c r="D183" t="str">
        <f>IF(Ticketsys!D183=CONCATENATE("long","-","haul"," ","flights"),"YES","NO")</f>
        <v>YES</v>
      </c>
      <c r="E183">
        <f t="shared" si="143"/>
        <v>150</v>
      </c>
      <c r="F183">
        <f t="shared" si="144"/>
        <v>30</v>
      </c>
      <c r="G183">
        <f t="shared" si="145"/>
        <v>30</v>
      </c>
      <c r="H183">
        <f t="shared" si="146"/>
        <v>90</v>
      </c>
      <c r="I183" s="27">
        <f t="shared" si="150"/>
        <v>1.8854166666666714</v>
      </c>
      <c r="J183" t="s">
        <v>1612</v>
      </c>
      <c r="K183" s="28">
        <f>Ticketsys!F183</f>
        <v>6.9131944444444686</v>
      </c>
      <c r="L183" s="27">
        <f t="shared" si="147"/>
        <v>8.7986111111111391</v>
      </c>
      <c r="M183">
        <f t="shared" si="151"/>
        <v>1209</v>
      </c>
      <c r="N183" t="str">
        <f t="shared" si="148"/>
        <v>B12091209</v>
      </c>
      <c r="O183" t="s">
        <v>1544</v>
      </c>
    </row>
    <row r="184" spans="1:15">
      <c r="A184" t="s">
        <v>1335</v>
      </c>
      <c r="B184" t="s">
        <v>1545</v>
      </c>
      <c r="C184" s="25" t="str">
        <f t="shared" ref="C184:C201" si="203">CONCATENATE("Airbus","A350")</f>
        <v>AirbusA350</v>
      </c>
      <c r="D184" t="str">
        <f>IF(Ticketsys!D184=CONCATENATE("long","-","haul"," ","flights"),"YES","NO")</f>
        <v>YES</v>
      </c>
      <c r="E184">
        <f t="shared" si="143"/>
        <v>325</v>
      </c>
      <c r="F184">
        <f t="shared" si="144"/>
        <v>65</v>
      </c>
      <c r="G184">
        <f t="shared" si="145"/>
        <v>65</v>
      </c>
      <c r="H184">
        <f t="shared" si="146"/>
        <v>195</v>
      </c>
      <c r="I184" s="27">
        <f t="shared" si="150"/>
        <v>1.8958333333333381</v>
      </c>
      <c r="J184" t="s">
        <v>1612</v>
      </c>
      <c r="K184" s="28">
        <f>Ticketsys!F184</f>
        <v>6.9513888888889133</v>
      </c>
      <c r="L184" s="27">
        <f t="shared" si="147"/>
        <v>8.8472222222222516</v>
      </c>
      <c r="M184">
        <f t="shared" si="151"/>
        <v>1215</v>
      </c>
      <c r="N184" t="str">
        <f t="shared" si="148"/>
        <v>C12151215</v>
      </c>
      <c r="O184" t="s">
        <v>1545</v>
      </c>
    </row>
    <row r="185" spans="1:15">
      <c r="A185" t="s">
        <v>1336</v>
      </c>
      <c r="B185" t="s">
        <v>1546</v>
      </c>
      <c r="C185" s="25" t="str">
        <f t="shared" ref="C185:C201" si="204">CONCATENATE("Airbus","A220")</f>
        <v>AirbusA220</v>
      </c>
      <c r="D185" t="str">
        <f>IF(Ticketsys!D185=CONCATENATE("long","-","haul"," ","flights"),"YES","NO")</f>
        <v>YES</v>
      </c>
      <c r="E185">
        <f t="shared" si="143"/>
        <v>135</v>
      </c>
      <c r="F185">
        <f t="shared" si="144"/>
        <v>27</v>
      </c>
      <c r="G185">
        <f t="shared" si="145"/>
        <v>27</v>
      </c>
      <c r="H185">
        <f t="shared" si="146"/>
        <v>81</v>
      </c>
      <c r="I185" s="27">
        <f t="shared" si="150"/>
        <v>1.9062500000000049</v>
      </c>
      <c r="J185" t="s">
        <v>1613</v>
      </c>
      <c r="K185" s="28">
        <f>Ticketsys!F185</f>
        <v>6.9895833333333579</v>
      </c>
      <c r="L185" s="27">
        <f t="shared" si="147"/>
        <v>8.8958333333333623</v>
      </c>
      <c r="M185">
        <f t="shared" si="151"/>
        <v>1221</v>
      </c>
      <c r="N185" t="str">
        <f t="shared" si="148"/>
        <v>D12211221</v>
      </c>
      <c r="O185" t="s">
        <v>1546</v>
      </c>
    </row>
    <row r="186" spans="1:15">
      <c r="A186" t="s">
        <v>1337</v>
      </c>
      <c r="B186" t="s">
        <v>1547</v>
      </c>
      <c r="C186" s="25" t="str">
        <f t="shared" ref="C186:C201" si="205">CONCATENATE("Airbus","A320")</f>
        <v>AirbusA320</v>
      </c>
      <c r="D186" t="str">
        <f>IF(Ticketsys!D186=CONCATENATE("long","-","haul"," ","flights"),"YES","NO")</f>
        <v>YES</v>
      </c>
      <c r="E186">
        <f t="shared" si="143"/>
        <v>150</v>
      </c>
      <c r="F186">
        <f t="shared" si="144"/>
        <v>30</v>
      </c>
      <c r="G186">
        <f t="shared" si="145"/>
        <v>30</v>
      </c>
      <c r="H186">
        <f t="shared" si="146"/>
        <v>90</v>
      </c>
      <c r="I186" s="27">
        <f t="shared" si="150"/>
        <v>1.9166666666666716</v>
      </c>
      <c r="J186" t="s">
        <v>1612</v>
      </c>
      <c r="K186" s="28">
        <f>Ticketsys!F186</f>
        <v>7.0277777777778025</v>
      </c>
      <c r="L186" s="27">
        <f t="shared" si="147"/>
        <v>8.9444444444444748</v>
      </c>
      <c r="M186">
        <f t="shared" si="151"/>
        <v>1227</v>
      </c>
      <c r="N186" t="str">
        <f t="shared" si="148"/>
        <v>E12271227</v>
      </c>
      <c r="O186" t="s">
        <v>1547</v>
      </c>
    </row>
    <row r="187" spans="1:15">
      <c r="A187" t="s">
        <v>1338</v>
      </c>
      <c r="B187" t="s">
        <v>1548</v>
      </c>
      <c r="C187" s="25" t="str">
        <f t="shared" ref="C187:C201" si="206">CONCATENATE("Airbus","A350")</f>
        <v>AirbusA350</v>
      </c>
      <c r="D187" t="str">
        <f>IF(Ticketsys!D187=CONCATENATE("long","-","haul"," ","flights"),"YES","NO")</f>
        <v>YES</v>
      </c>
      <c r="E187">
        <f t="shared" si="143"/>
        <v>325</v>
      </c>
      <c r="F187">
        <f t="shared" si="144"/>
        <v>65</v>
      </c>
      <c r="G187">
        <f t="shared" si="145"/>
        <v>65</v>
      </c>
      <c r="H187">
        <f t="shared" si="146"/>
        <v>195</v>
      </c>
      <c r="I187" s="27">
        <f t="shared" si="150"/>
        <v>1.9270833333333384</v>
      </c>
      <c r="J187" t="s">
        <v>1614</v>
      </c>
      <c r="K187" s="28">
        <f>Ticketsys!F187</f>
        <v>7.0659722222222472</v>
      </c>
      <c r="L187" s="27">
        <f t="shared" si="147"/>
        <v>8.9930555555555856</v>
      </c>
      <c r="M187">
        <f t="shared" si="151"/>
        <v>1233</v>
      </c>
      <c r="N187" t="str">
        <f t="shared" si="148"/>
        <v>C12331233</v>
      </c>
      <c r="O187" t="s">
        <v>1548</v>
      </c>
    </row>
    <row r="188" spans="1:15">
      <c r="A188" t="s">
        <v>1339</v>
      </c>
      <c r="B188" t="s">
        <v>1549</v>
      </c>
      <c r="C188" s="25" t="str">
        <f t="shared" ref="C188:C201" si="207">CONCATENATE("Airbus","A220")</f>
        <v>AirbusA220</v>
      </c>
      <c r="D188" t="str">
        <f>IF(Ticketsys!D188=CONCATENATE("long","-","haul"," ","flights"),"YES","NO")</f>
        <v>YES</v>
      </c>
      <c r="E188">
        <f t="shared" si="143"/>
        <v>135</v>
      </c>
      <c r="F188">
        <f t="shared" si="144"/>
        <v>27</v>
      </c>
      <c r="G188">
        <f t="shared" si="145"/>
        <v>27</v>
      </c>
      <c r="H188">
        <f t="shared" si="146"/>
        <v>81</v>
      </c>
      <c r="I188" s="27">
        <f t="shared" si="150"/>
        <v>1.9375000000000051</v>
      </c>
      <c r="J188" t="s">
        <v>1614</v>
      </c>
      <c r="K188" s="28">
        <f>Ticketsys!F188</f>
        <v>7.1041666666666918</v>
      </c>
      <c r="L188" s="27">
        <f t="shared" si="147"/>
        <v>9.0416666666666963</v>
      </c>
      <c r="M188">
        <f t="shared" si="151"/>
        <v>1239</v>
      </c>
      <c r="N188" t="str">
        <f t="shared" si="148"/>
        <v>A12391239</v>
      </c>
      <c r="O188" t="s">
        <v>1549</v>
      </c>
    </row>
    <row r="189" spans="1:15">
      <c r="A189" t="s">
        <v>1340</v>
      </c>
      <c r="B189" t="s">
        <v>1550</v>
      </c>
      <c r="C189" s="25" t="str">
        <f t="shared" ref="C189:C201" si="208">CONCATENATE("Airbus","A320")</f>
        <v>AirbusA320</v>
      </c>
      <c r="D189" t="str">
        <f>IF(Ticketsys!D189=CONCATENATE("long","-","haul"," ","flights"),"YES","NO")</f>
        <v>YES</v>
      </c>
      <c r="E189">
        <f t="shared" si="143"/>
        <v>150</v>
      </c>
      <c r="F189">
        <f t="shared" si="144"/>
        <v>30</v>
      </c>
      <c r="G189">
        <f t="shared" si="145"/>
        <v>30</v>
      </c>
      <c r="H189">
        <f t="shared" si="146"/>
        <v>90</v>
      </c>
      <c r="I189" s="27">
        <f t="shared" si="150"/>
        <v>1.9479166666666718</v>
      </c>
      <c r="J189" t="s">
        <v>1614</v>
      </c>
      <c r="K189" s="28">
        <f>Ticketsys!F189</f>
        <v>7.1423611111111365</v>
      </c>
      <c r="L189" s="27">
        <f t="shared" si="147"/>
        <v>9.0902777777778088</v>
      </c>
      <c r="M189">
        <f t="shared" si="151"/>
        <v>1245</v>
      </c>
      <c r="N189" t="str">
        <f t="shared" si="148"/>
        <v>B12451245</v>
      </c>
      <c r="O189" t="s">
        <v>1550</v>
      </c>
    </row>
    <row r="190" spans="1:15">
      <c r="A190" t="s">
        <v>1341</v>
      </c>
      <c r="B190" t="s">
        <v>1551</v>
      </c>
      <c r="C190" s="25" t="str">
        <f t="shared" ref="C190:C201" si="209">CONCATENATE("Airbus","A350")</f>
        <v>AirbusA350</v>
      </c>
      <c r="D190" t="str">
        <f>IF(Ticketsys!D190=CONCATENATE("long","-","haul"," ","flights"),"YES","NO")</f>
        <v>YES</v>
      </c>
      <c r="E190">
        <f t="shared" si="143"/>
        <v>325</v>
      </c>
      <c r="F190">
        <f t="shared" si="144"/>
        <v>65</v>
      </c>
      <c r="G190">
        <f t="shared" si="145"/>
        <v>65</v>
      </c>
      <c r="H190">
        <f t="shared" si="146"/>
        <v>195</v>
      </c>
      <c r="I190" s="27">
        <f t="shared" si="150"/>
        <v>1.9583333333333386</v>
      </c>
      <c r="J190" t="s">
        <v>1614</v>
      </c>
      <c r="K190" s="28">
        <f>Ticketsys!F190</f>
        <v>7.1805555555555811</v>
      </c>
      <c r="L190" s="27">
        <f t="shared" si="147"/>
        <v>9.1388888888889195</v>
      </c>
      <c r="M190">
        <f t="shared" si="151"/>
        <v>1251</v>
      </c>
      <c r="N190" t="str">
        <f t="shared" si="148"/>
        <v>C12511251</v>
      </c>
      <c r="O190" t="s">
        <v>1551</v>
      </c>
    </row>
    <row r="191" spans="1:15">
      <c r="A191" t="s">
        <v>1342</v>
      </c>
      <c r="B191" t="s">
        <v>1552</v>
      </c>
      <c r="C191" s="25" t="str">
        <f t="shared" ref="C191:C201" si="210">CONCATENATE("Airbus","A220")</f>
        <v>AirbusA220</v>
      </c>
      <c r="D191" t="str">
        <f>IF(Ticketsys!D191=CONCATENATE("long","-","haul"," ","flights"),"YES","NO")</f>
        <v>YES</v>
      </c>
      <c r="E191">
        <f t="shared" si="143"/>
        <v>135</v>
      </c>
      <c r="F191">
        <f t="shared" si="144"/>
        <v>27</v>
      </c>
      <c r="G191">
        <f t="shared" si="145"/>
        <v>27</v>
      </c>
      <c r="H191">
        <f t="shared" si="146"/>
        <v>81</v>
      </c>
      <c r="I191" s="27">
        <f t="shared" si="150"/>
        <v>1.9687500000000053</v>
      </c>
      <c r="J191" t="s">
        <v>1614</v>
      </c>
      <c r="K191" s="28">
        <f>Ticketsys!F191</f>
        <v>7.2187500000000258</v>
      </c>
      <c r="L191" s="27">
        <f t="shared" si="147"/>
        <v>9.187500000000032</v>
      </c>
      <c r="M191">
        <f t="shared" si="151"/>
        <v>1257</v>
      </c>
      <c r="N191" t="str">
        <f t="shared" si="148"/>
        <v>A12571257</v>
      </c>
      <c r="O191" t="s">
        <v>1552</v>
      </c>
    </row>
    <row r="192" spans="1:15">
      <c r="A192" t="s">
        <v>1343</v>
      </c>
      <c r="B192" t="s">
        <v>1553</v>
      </c>
      <c r="C192" s="25" t="str">
        <f t="shared" ref="C192:C201" si="211">CONCATENATE("Airbus","A320")</f>
        <v>AirbusA320</v>
      </c>
      <c r="D192" t="str">
        <f>IF(Ticketsys!D192=CONCATENATE("long","-","haul"," ","flights"),"YES","NO")</f>
        <v>YES</v>
      </c>
      <c r="E192">
        <f t="shared" si="143"/>
        <v>150</v>
      </c>
      <c r="F192">
        <f t="shared" si="144"/>
        <v>30</v>
      </c>
      <c r="G192">
        <f t="shared" si="145"/>
        <v>30</v>
      </c>
      <c r="H192">
        <f t="shared" si="146"/>
        <v>90</v>
      </c>
      <c r="I192" s="27">
        <f t="shared" si="150"/>
        <v>1.9791666666666721</v>
      </c>
      <c r="J192" t="s">
        <v>1612</v>
      </c>
      <c r="K192" s="28">
        <f>Ticketsys!F192</f>
        <v>7.2569444444444704</v>
      </c>
      <c r="L192" s="27">
        <f t="shared" si="147"/>
        <v>9.2361111111111427</v>
      </c>
      <c r="M192">
        <f t="shared" si="151"/>
        <v>1263</v>
      </c>
      <c r="N192" t="str">
        <f t="shared" si="148"/>
        <v>B12631263</v>
      </c>
      <c r="O192" t="s">
        <v>1553</v>
      </c>
    </row>
    <row r="193" spans="1:15">
      <c r="A193" t="s">
        <v>1344</v>
      </c>
      <c r="B193" t="s">
        <v>1554</v>
      </c>
      <c r="C193" s="25" t="str">
        <f t="shared" ref="C193:C201" si="212">CONCATENATE("Airbus","A350")</f>
        <v>AirbusA350</v>
      </c>
      <c r="D193" t="str">
        <f>IF(Ticketsys!D193=CONCATENATE("long","-","haul"," ","flights"),"YES","NO")</f>
        <v>YES</v>
      </c>
      <c r="E193">
        <f t="shared" si="143"/>
        <v>325</v>
      </c>
      <c r="F193">
        <f t="shared" si="144"/>
        <v>65</v>
      </c>
      <c r="G193">
        <f t="shared" si="145"/>
        <v>65</v>
      </c>
      <c r="H193">
        <f t="shared" si="146"/>
        <v>195</v>
      </c>
      <c r="I193" s="27">
        <f t="shared" si="150"/>
        <v>1.9895833333333388</v>
      </c>
      <c r="J193" t="s">
        <v>1614</v>
      </c>
      <c r="K193" s="28">
        <f>Ticketsys!F193</f>
        <v>7.295138888888915</v>
      </c>
      <c r="L193" s="27">
        <f t="shared" si="147"/>
        <v>9.2847222222222534</v>
      </c>
      <c r="M193">
        <f t="shared" si="151"/>
        <v>1269</v>
      </c>
      <c r="N193" t="str">
        <f t="shared" si="148"/>
        <v>C12691269</v>
      </c>
      <c r="O193" t="s">
        <v>1554</v>
      </c>
    </row>
    <row r="194" spans="1:15">
      <c r="A194" t="s">
        <v>1345</v>
      </c>
      <c r="B194" t="s">
        <v>1555</v>
      </c>
      <c r="C194" s="25" t="str">
        <f t="shared" ref="C194:C201" si="213">CONCATENATE("Airbus","A220")</f>
        <v>AirbusA220</v>
      </c>
      <c r="D194" t="str">
        <f>IF(Ticketsys!D194=CONCATENATE("long","-","haul"," ","flights"),"YES","NO")</f>
        <v>YES</v>
      </c>
      <c r="E194">
        <f t="shared" si="143"/>
        <v>135</v>
      </c>
      <c r="F194">
        <f t="shared" si="144"/>
        <v>27</v>
      </c>
      <c r="G194">
        <f t="shared" si="145"/>
        <v>27</v>
      </c>
      <c r="H194">
        <f t="shared" si="146"/>
        <v>81</v>
      </c>
      <c r="I194" s="27">
        <f t="shared" si="150"/>
        <v>2.0000000000000053</v>
      </c>
      <c r="J194" t="s">
        <v>1612</v>
      </c>
      <c r="K194" s="28">
        <f>Ticketsys!F194</f>
        <v>7.3333333333333597</v>
      </c>
      <c r="L194" s="27">
        <f t="shared" si="147"/>
        <v>9.3333333333333641</v>
      </c>
      <c r="M194">
        <f t="shared" si="151"/>
        <v>1275</v>
      </c>
      <c r="N194" t="str">
        <f t="shared" si="148"/>
        <v>D12751275</v>
      </c>
      <c r="O194" t="s">
        <v>1555</v>
      </c>
    </row>
    <row r="195" spans="1:15">
      <c r="A195" t="s">
        <v>1346</v>
      </c>
      <c r="B195" t="s">
        <v>1556</v>
      </c>
      <c r="C195" s="25" t="str">
        <f t="shared" ref="C195:C201" si="214">CONCATENATE("Airbus","A320")</f>
        <v>AirbusA320</v>
      </c>
      <c r="D195" t="str">
        <f>IF(Ticketsys!D195=CONCATENATE("long","-","haul"," ","flights"),"YES","NO")</f>
        <v>YES</v>
      </c>
      <c r="E195">
        <f t="shared" ref="E195:E201" si="215">IF(C195=CONCATENATE("Airbus","A220"),135,(IF(C195=CONCATENATE("Airbus","A320"),150,325)))</f>
        <v>150</v>
      </c>
      <c r="F195">
        <f t="shared" ref="F195:F201" si="216">E195*(20/100)</f>
        <v>30</v>
      </c>
      <c r="G195">
        <f t="shared" ref="G195:G201" si="217">E195*(20/100)</f>
        <v>30</v>
      </c>
      <c r="H195">
        <f t="shared" ref="H195:H201" si="218">E195*(60/100)</f>
        <v>90</v>
      </c>
      <c r="I195" s="27">
        <f t="shared" si="150"/>
        <v>2.0104166666666718</v>
      </c>
      <c r="J195" t="s">
        <v>1612</v>
      </c>
      <c r="K195" s="28">
        <f>Ticketsys!F195</f>
        <v>7.3715277777778043</v>
      </c>
      <c r="L195" s="27">
        <f t="shared" ref="L195:L201" si="219">K195+I195</f>
        <v>9.3819444444444766</v>
      </c>
      <c r="M195">
        <f t="shared" si="151"/>
        <v>1281</v>
      </c>
      <c r="N195" t="str">
        <f t="shared" ref="N195:N201" si="220">CONCATENATE(B195,M195)</f>
        <v>E12811281</v>
      </c>
      <c r="O195" t="s">
        <v>1556</v>
      </c>
    </row>
    <row r="196" spans="1:15">
      <c r="A196" t="s">
        <v>1347</v>
      </c>
      <c r="B196" t="s">
        <v>1557</v>
      </c>
      <c r="C196" s="25" t="str">
        <f t="shared" ref="C196:C201" si="221">CONCATENATE("Airbus","A350")</f>
        <v>AirbusA350</v>
      </c>
      <c r="D196" t="str">
        <f>IF(Ticketsys!D196=CONCATENATE("long","-","haul"," ","flights"),"YES","NO")</f>
        <v>YES</v>
      </c>
      <c r="E196">
        <f t="shared" si="215"/>
        <v>325</v>
      </c>
      <c r="F196">
        <f t="shared" si="216"/>
        <v>65</v>
      </c>
      <c r="G196">
        <f t="shared" si="217"/>
        <v>65</v>
      </c>
      <c r="H196">
        <f t="shared" si="218"/>
        <v>195</v>
      </c>
      <c r="I196" s="27">
        <f t="shared" ref="I196:I201" si="222">I195+"00:15:00"</f>
        <v>2.0208333333333384</v>
      </c>
      <c r="J196" t="s">
        <v>1614</v>
      </c>
      <c r="K196" s="28">
        <f>Ticketsys!F196</f>
        <v>7.409722222222249</v>
      </c>
      <c r="L196" s="27">
        <f t="shared" si="219"/>
        <v>9.4305555555555873</v>
      </c>
      <c r="M196">
        <f t="shared" ref="M196:M201" si="223">M195+6</f>
        <v>1287</v>
      </c>
      <c r="N196" t="str">
        <f t="shared" si="220"/>
        <v>C12871287</v>
      </c>
      <c r="O196" t="s">
        <v>1557</v>
      </c>
    </row>
    <row r="197" spans="1:15">
      <c r="A197" t="s">
        <v>1348</v>
      </c>
      <c r="B197" t="s">
        <v>1558</v>
      </c>
      <c r="C197" s="25" t="str">
        <f t="shared" ref="C197:C201" si="224">CONCATENATE("Airbus","A220")</f>
        <v>AirbusA220</v>
      </c>
      <c r="D197" t="str">
        <f>IF(Ticketsys!D197=CONCATENATE("long","-","haul"," ","flights"),"YES","NO")</f>
        <v>YES</v>
      </c>
      <c r="E197">
        <f t="shared" si="215"/>
        <v>135</v>
      </c>
      <c r="F197">
        <f t="shared" si="216"/>
        <v>27</v>
      </c>
      <c r="G197">
        <f t="shared" si="217"/>
        <v>27</v>
      </c>
      <c r="H197">
        <f t="shared" si="218"/>
        <v>81</v>
      </c>
      <c r="I197" s="27">
        <f t="shared" si="222"/>
        <v>2.0312500000000049</v>
      </c>
      <c r="J197" t="s">
        <v>1614</v>
      </c>
      <c r="K197" s="28">
        <f>Ticketsys!F197</f>
        <v>7.4479166666666936</v>
      </c>
      <c r="L197" s="27">
        <f t="shared" si="219"/>
        <v>9.479166666666698</v>
      </c>
      <c r="M197">
        <f t="shared" si="223"/>
        <v>1293</v>
      </c>
      <c r="N197" t="str">
        <f t="shared" si="220"/>
        <v>A12931293</v>
      </c>
      <c r="O197" t="s">
        <v>1558</v>
      </c>
    </row>
    <row r="198" spans="1:15">
      <c r="A198" t="s">
        <v>1349</v>
      </c>
      <c r="B198" t="s">
        <v>1559</v>
      </c>
      <c r="C198" s="25" t="str">
        <f t="shared" ref="C198:C201" si="225">CONCATENATE("Airbus","A320")</f>
        <v>AirbusA320</v>
      </c>
      <c r="D198" t="str">
        <f>IF(Ticketsys!D198=CONCATENATE("long","-","haul"," ","flights"),"YES","NO")</f>
        <v>YES</v>
      </c>
      <c r="E198">
        <f t="shared" si="215"/>
        <v>150</v>
      </c>
      <c r="F198">
        <f t="shared" si="216"/>
        <v>30</v>
      </c>
      <c r="G198">
        <f t="shared" si="217"/>
        <v>30</v>
      </c>
      <c r="H198">
        <f t="shared" si="218"/>
        <v>90</v>
      </c>
      <c r="I198" s="27">
        <f t="shared" si="222"/>
        <v>2.0416666666666714</v>
      </c>
      <c r="J198" t="s">
        <v>1614</v>
      </c>
      <c r="K198" s="28">
        <f>Ticketsys!F198</f>
        <v>7.4861111111111382</v>
      </c>
      <c r="L198" s="27">
        <f t="shared" si="219"/>
        <v>9.5277777777778105</v>
      </c>
      <c r="M198">
        <f t="shared" si="223"/>
        <v>1299</v>
      </c>
      <c r="N198" t="str">
        <f t="shared" si="220"/>
        <v>B12991299</v>
      </c>
      <c r="O198" t="s">
        <v>1559</v>
      </c>
    </row>
    <row r="199" spans="1:15">
      <c r="A199" t="s">
        <v>1350</v>
      </c>
      <c r="B199" t="s">
        <v>1560</v>
      </c>
      <c r="C199" s="25" t="str">
        <f t="shared" ref="C199:C201" si="226">CONCATENATE("Airbus","A350")</f>
        <v>AirbusA350</v>
      </c>
      <c r="D199" t="str">
        <f>IF(Ticketsys!D199=CONCATENATE("long","-","haul"," ","flights"),"YES","NO")</f>
        <v>YES</v>
      </c>
      <c r="E199">
        <f t="shared" si="215"/>
        <v>325</v>
      </c>
      <c r="F199">
        <f t="shared" si="216"/>
        <v>65</v>
      </c>
      <c r="G199">
        <f t="shared" si="217"/>
        <v>65</v>
      </c>
      <c r="H199">
        <f t="shared" si="218"/>
        <v>195</v>
      </c>
      <c r="I199" s="27">
        <f t="shared" si="222"/>
        <v>2.0520833333333379</v>
      </c>
      <c r="J199" t="s">
        <v>1614</v>
      </c>
      <c r="K199" s="28">
        <f>Ticketsys!F199</f>
        <v>7.5243055555555829</v>
      </c>
      <c r="L199" s="27">
        <f t="shared" si="219"/>
        <v>9.5763888888889213</v>
      </c>
      <c r="M199">
        <f t="shared" si="223"/>
        <v>1305</v>
      </c>
      <c r="N199" t="str">
        <f t="shared" si="220"/>
        <v>C13051305</v>
      </c>
      <c r="O199" t="s">
        <v>1560</v>
      </c>
    </row>
    <row r="200" spans="1:15">
      <c r="A200" t="s">
        <v>1351</v>
      </c>
      <c r="B200" t="s">
        <v>1561</v>
      </c>
      <c r="C200" s="25" t="str">
        <f t="shared" ref="C200:C201" si="227">CONCATENATE("Airbus","A220")</f>
        <v>AirbusA220</v>
      </c>
      <c r="D200" t="str">
        <f>IF(Ticketsys!D200=CONCATENATE("long","-","haul"," ","flights"),"YES","NO")</f>
        <v>YES</v>
      </c>
      <c r="E200">
        <f t="shared" si="215"/>
        <v>135</v>
      </c>
      <c r="F200">
        <f t="shared" si="216"/>
        <v>27</v>
      </c>
      <c r="G200">
        <f t="shared" si="217"/>
        <v>27</v>
      </c>
      <c r="H200">
        <f t="shared" si="218"/>
        <v>81</v>
      </c>
      <c r="I200" s="27">
        <f t="shared" si="222"/>
        <v>2.0625000000000044</v>
      </c>
      <c r="J200" t="s">
        <v>1614</v>
      </c>
      <c r="K200" s="28">
        <f>Ticketsys!F200</f>
        <v>7.5625000000000275</v>
      </c>
      <c r="L200" s="27">
        <f t="shared" si="219"/>
        <v>9.625000000000032</v>
      </c>
      <c r="M200">
        <f t="shared" si="223"/>
        <v>1311</v>
      </c>
      <c r="N200" t="str">
        <f t="shared" si="220"/>
        <v>A13111311</v>
      </c>
      <c r="O200" t="s">
        <v>1561</v>
      </c>
    </row>
    <row r="201" spans="1:15">
      <c r="A201" t="s">
        <v>1352</v>
      </c>
      <c r="B201" t="s">
        <v>1562</v>
      </c>
      <c r="C201" s="25" t="str">
        <f t="shared" ref="C201" si="228">CONCATENATE("Airbus","A320")</f>
        <v>AirbusA320</v>
      </c>
      <c r="D201" t="str">
        <f>IF(Ticketsys!D201=CONCATENATE("long","-","haul"," ","flights"),"YES","NO")</f>
        <v>YES</v>
      </c>
      <c r="E201">
        <f t="shared" si="215"/>
        <v>150</v>
      </c>
      <c r="F201">
        <f t="shared" si="216"/>
        <v>30</v>
      </c>
      <c r="G201">
        <f t="shared" si="217"/>
        <v>30</v>
      </c>
      <c r="H201">
        <f t="shared" si="218"/>
        <v>90</v>
      </c>
      <c r="I201" s="27">
        <f t="shared" si="222"/>
        <v>2.072916666666671</v>
      </c>
      <c r="J201" t="s">
        <v>1613</v>
      </c>
      <c r="K201" s="28">
        <f>Ticketsys!F201</f>
        <v>7.6006944444444722</v>
      </c>
      <c r="L201" s="27">
        <f t="shared" si="219"/>
        <v>9.6736111111111427</v>
      </c>
      <c r="M201">
        <f t="shared" si="223"/>
        <v>1317</v>
      </c>
      <c r="N201" t="str">
        <f t="shared" si="220"/>
        <v>B13171317</v>
      </c>
      <c r="O201" t="s">
        <v>1562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F201"/>
  <sheetViews>
    <sheetView tabSelected="1" workbookViewId="0">
      <selection activeCell="G199" sqref="G199"/>
    </sheetView>
  </sheetViews>
  <sheetFormatPr baseColWidth="10"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5" t="s">
        <v>18</v>
      </c>
      <c r="B1" s="9" t="s">
        <v>72</v>
      </c>
      <c r="C1" s="4" t="s">
        <v>100</v>
      </c>
      <c r="D1" s="4" t="s">
        <v>101</v>
      </c>
      <c r="E1" s="4" t="s">
        <v>102</v>
      </c>
      <c r="F1" s="4" t="s">
        <v>103</v>
      </c>
    </row>
    <row r="2" spans="1:6">
      <c r="A2" s="10" t="s">
        <v>24</v>
      </c>
      <c r="B2" t="s">
        <v>1363</v>
      </c>
      <c r="C2" t="s">
        <v>81</v>
      </c>
      <c r="D2" t="s">
        <v>82</v>
      </c>
      <c r="E2" s="14">
        <v>41122</v>
      </c>
      <c r="F2" s="14">
        <f>E2+3</f>
        <v>41125</v>
      </c>
    </row>
    <row r="3" spans="1:6">
      <c r="A3" s="10" t="s">
        <v>25</v>
      </c>
      <c r="B3" t="s">
        <v>1364</v>
      </c>
      <c r="C3" t="s">
        <v>82</v>
      </c>
      <c r="D3" t="s">
        <v>82</v>
      </c>
      <c r="E3" s="14">
        <f>E2+28</f>
        <v>41150</v>
      </c>
      <c r="F3" s="14">
        <f>E3+24</f>
        <v>41174</v>
      </c>
    </row>
    <row r="4" spans="1:6">
      <c r="A4" s="10" t="s">
        <v>26</v>
      </c>
      <c r="B4" t="s">
        <v>1365</v>
      </c>
      <c r="C4" t="s">
        <v>82</v>
      </c>
      <c r="D4" t="s">
        <v>81</v>
      </c>
      <c r="E4" s="14">
        <f t="shared" ref="E4:E67" si="0">E3+28</f>
        <v>41178</v>
      </c>
      <c r="F4" s="14">
        <f t="shared" ref="F4:F67" si="1">E4+24</f>
        <v>41202</v>
      </c>
    </row>
    <row r="5" spans="1:6">
      <c r="A5" s="10" t="s">
        <v>27</v>
      </c>
      <c r="B5" t="s">
        <v>1366</v>
      </c>
      <c r="C5" t="s">
        <v>81</v>
      </c>
      <c r="D5" t="s">
        <v>81</v>
      </c>
      <c r="E5" s="14">
        <f t="shared" si="0"/>
        <v>41206</v>
      </c>
      <c r="F5" s="14">
        <f t="shared" si="1"/>
        <v>41230</v>
      </c>
    </row>
    <row r="6" spans="1:6">
      <c r="A6" s="10" t="s">
        <v>28</v>
      </c>
      <c r="B6" t="s">
        <v>1367</v>
      </c>
      <c r="C6" t="s">
        <v>81</v>
      </c>
      <c r="D6" t="s">
        <v>81</v>
      </c>
      <c r="E6" s="14">
        <f t="shared" si="0"/>
        <v>41234</v>
      </c>
      <c r="F6" s="14">
        <f t="shared" si="1"/>
        <v>41258</v>
      </c>
    </row>
    <row r="7" spans="1:6">
      <c r="A7" s="10" t="s">
        <v>29</v>
      </c>
      <c r="B7" t="s">
        <v>1368</v>
      </c>
      <c r="C7" t="s">
        <v>81</v>
      </c>
      <c r="D7" t="s">
        <v>82</v>
      </c>
      <c r="E7" s="14">
        <f t="shared" si="0"/>
        <v>41262</v>
      </c>
      <c r="F7" s="14">
        <f t="shared" si="1"/>
        <v>41286</v>
      </c>
    </row>
    <row r="8" spans="1:6">
      <c r="A8" s="10" t="s">
        <v>30</v>
      </c>
      <c r="B8" t="s">
        <v>1369</v>
      </c>
      <c r="C8" t="s">
        <v>82</v>
      </c>
      <c r="D8" t="s">
        <v>82</v>
      </c>
      <c r="E8" s="14">
        <f t="shared" si="0"/>
        <v>41290</v>
      </c>
      <c r="F8" s="14">
        <f t="shared" si="1"/>
        <v>41314</v>
      </c>
    </row>
    <row r="9" spans="1:6">
      <c r="A9" s="10" t="s">
        <v>31</v>
      </c>
      <c r="B9" t="s">
        <v>1370</v>
      </c>
      <c r="C9" t="s">
        <v>82</v>
      </c>
      <c r="D9" t="s">
        <v>81</v>
      </c>
      <c r="E9" s="14">
        <f t="shared" si="0"/>
        <v>41318</v>
      </c>
      <c r="F9" s="14">
        <f t="shared" si="1"/>
        <v>41342</v>
      </c>
    </row>
    <row r="10" spans="1:6">
      <c r="A10" s="10" t="s">
        <v>32</v>
      </c>
      <c r="B10" t="s">
        <v>1371</v>
      </c>
      <c r="C10" t="s">
        <v>81</v>
      </c>
      <c r="D10" t="s">
        <v>81</v>
      </c>
      <c r="E10" s="14">
        <f t="shared" si="0"/>
        <v>41346</v>
      </c>
      <c r="F10" s="14">
        <f t="shared" si="1"/>
        <v>41370</v>
      </c>
    </row>
    <row r="11" spans="1:6">
      <c r="A11" s="10" t="s">
        <v>33</v>
      </c>
      <c r="B11" t="s">
        <v>1372</v>
      </c>
      <c r="C11" t="s">
        <v>81</v>
      </c>
      <c r="D11" t="s">
        <v>81</v>
      </c>
      <c r="E11" s="14">
        <f t="shared" si="0"/>
        <v>41374</v>
      </c>
      <c r="F11" s="14">
        <f t="shared" si="1"/>
        <v>41398</v>
      </c>
    </row>
    <row r="12" spans="1:6">
      <c r="A12" s="10" t="s">
        <v>24</v>
      </c>
      <c r="B12" t="s">
        <v>1373</v>
      </c>
      <c r="C12" t="s">
        <v>81</v>
      </c>
      <c r="D12" t="s">
        <v>82</v>
      </c>
      <c r="E12" s="14">
        <f t="shared" si="0"/>
        <v>41402</v>
      </c>
      <c r="F12" s="14">
        <f t="shared" si="1"/>
        <v>41426</v>
      </c>
    </row>
    <row r="13" spans="1:6">
      <c r="A13" s="10" t="s">
        <v>25</v>
      </c>
      <c r="B13" t="s">
        <v>1374</v>
      </c>
      <c r="C13" t="s">
        <v>82</v>
      </c>
      <c r="D13" t="s">
        <v>82</v>
      </c>
      <c r="E13" s="14">
        <f t="shared" si="0"/>
        <v>41430</v>
      </c>
      <c r="F13" s="14">
        <f t="shared" si="1"/>
        <v>41454</v>
      </c>
    </row>
    <row r="14" spans="1:6">
      <c r="A14" s="10" t="s">
        <v>26</v>
      </c>
      <c r="B14" t="s">
        <v>1375</v>
      </c>
      <c r="C14" t="s">
        <v>82</v>
      </c>
      <c r="D14" t="s">
        <v>82</v>
      </c>
      <c r="E14" s="14">
        <f t="shared" si="0"/>
        <v>41458</v>
      </c>
      <c r="F14" s="14">
        <f t="shared" si="1"/>
        <v>41482</v>
      </c>
    </row>
    <row r="15" spans="1:6">
      <c r="A15" s="10" t="s">
        <v>27</v>
      </c>
      <c r="B15" t="s">
        <v>1376</v>
      </c>
      <c r="C15" t="s">
        <v>81</v>
      </c>
      <c r="D15" t="s">
        <v>82</v>
      </c>
      <c r="E15" s="14">
        <f t="shared" si="0"/>
        <v>41486</v>
      </c>
      <c r="F15" s="14">
        <f t="shared" si="1"/>
        <v>41510</v>
      </c>
    </row>
    <row r="16" spans="1:6">
      <c r="A16" s="10" t="s">
        <v>28</v>
      </c>
      <c r="B16" t="s">
        <v>1377</v>
      </c>
      <c r="C16" t="s">
        <v>81</v>
      </c>
      <c r="D16" t="s">
        <v>81</v>
      </c>
      <c r="E16" s="14">
        <f t="shared" si="0"/>
        <v>41514</v>
      </c>
      <c r="F16" s="14">
        <f t="shared" si="1"/>
        <v>41538</v>
      </c>
    </row>
    <row r="17" spans="1:6">
      <c r="A17" s="10" t="s">
        <v>29</v>
      </c>
      <c r="B17" t="s">
        <v>1378</v>
      </c>
      <c r="C17" t="s">
        <v>81</v>
      </c>
      <c r="D17" t="s">
        <v>81</v>
      </c>
      <c r="E17" s="14">
        <f t="shared" si="0"/>
        <v>41542</v>
      </c>
      <c r="F17" s="14">
        <f t="shared" si="1"/>
        <v>41566</v>
      </c>
    </row>
    <row r="18" spans="1:6">
      <c r="A18" s="10" t="s">
        <v>30</v>
      </c>
      <c r="B18" t="s">
        <v>1379</v>
      </c>
      <c r="C18" t="s">
        <v>82</v>
      </c>
      <c r="D18" t="s">
        <v>81</v>
      </c>
      <c r="E18" s="14">
        <f t="shared" si="0"/>
        <v>41570</v>
      </c>
      <c r="F18" s="14">
        <f t="shared" si="1"/>
        <v>41594</v>
      </c>
    </row>
    <row r="19" spans="1:6">
      <c r="A19" s="10" t="s">
        <v>31</v>
      </c>
      <c r="B19" t="s">
        <v>1380</v>
      </c>
      <c r="C19" t="s">
        <v>82</v>
      </c>
      <c r="D19" t="s">
        <v>82</v>
      </c>
      <c r="E19" s="14">
        <f t="shared" si="0"/>
        <v>41598</v>
      </c>
      <c r="F19" s="14">
        <f t="shared" si="1"/>
        <v>41622</v>
      </c>
    </row>
    <row r="20" spans="1:6">
      <c r="A20" s="10" t="s">
        <v>32</v>
      </c>
      <c r="B20" t="s">
        <v>1381</v>
      </c>
      <c r="C20" t="s">
        <v>81</v>
      </c>
      <c r="D20" t="s">
        <v>82</v>
      </c>
      <c r="E20" s="14">
        <f t="shared" si="0"/>
        <v>41626</v>
      </c>
      <c r="F20" s="14">
        <f t="shared" si="1"/>
        <v>41650</v>
      </c>
    </row>
    <row r="21" spans="1:6">
      <c r="A21" s="10" t="s">
        <v>33</v>
      </c>
      <c r="B21" t="s">
        <v>1382</v>
      </c>
      <c r="C21" t="s">
        <v>81</v>
      </c>
      <c r="D21" t="s">
        <v>81</v>
      </c>
      <c r="E21" s="14">
        <f t="shared" si="0"/>
        <v>41654</v>
      </c>
      <c r="F21" s="14">
        <f t="shared" si="1"/>
        <v>41678</v>
      </c>
    </row>
    <row r="22" spans="1:6">
      <c r="A22" s="10" t="s">
        <v>24</v>
      </c>
      <c r="B22" t="s">
        <v>1383</v>
      </c>
      <c r="C22" t="s">
        <v>81</v>
      </c>
      <c r="D22" t="s">
        <v>81</v>
      </c>
      <c r="E22" s="14">
        <f t="shared" si="0"/>
        <v>41682</v>
      </c>
      <c r="F22" s="14">
        <f t="shared" si="1"/>
        <v>41706</v>
      </c>
    </row>
    <row r="23" spans="1:6">
      <c r="A23" s="10" t="s">
        <v>25</v>
      </c>
      <c r="B23" t="s">
        <v>1384</v>
      </c>
      <c r="C23" t="s">
        <v>82</v>
      </c>
      <c r="D23" t="s">
        <v>81</v>
      </c>
      <c r="E23" s="14">
        <f t="shared" si="0"/>
        <v>41710</v>
      </c>
      <c r="F23" s="14">
        <f t="shared" si="1"/>
        <v>41734</v>
      </c>
    </row>
    <row r="24" spans="1:6">
      <c r="A24" s="10" t="s">
        <v>26</v>
      </c>
      <c r="B24" t="s">
        <v>1385</v>
      </c>
      <c r="C24" t="s">
        <v>82</v>
      </c>
      <c r="D24" t="s">
        <v>82</v>
      </c>
      <c r="E24" s="14">
        <f t="shared" si="0"/>
        <v>41738</v>
      </c>
      <c r="F24" s="14">
        <f t="shared" si="1"/>
        <v>41762</v>
      </c>
    </row>
    <row r="25" spans="1:6">
      <c r="A25" s="10" t="s">
        <v>27</v>
      </c>
      <c r="B25" t="s">
        <v>1386</v>
      </c>
      <c r="C25" t="s">
        <v>81</v>
      </c>
      <c r="D25" t="s">
        <v>82</v>
      </c>
      <c r="E25" s="14">
        <f t="shared" si="0"/>
        <v>41766</v>
      </c>
      <c r="F25" s="14">
        <f t="shared" si="1"/>
        <v>41790</v>
      </c>
    </row>
    <row r="26" spans="1:6">
      <c r="A26" s="10" t="s">
        <v>28</v>
      </c>
      <c r="B26" t="s">
        <v>1387</v>
      </c>
      <c r="C26" t="s">
        <v>81</v>
      </c>
      <c r="D26" t="s">
        <v>82</v>
      </c>
      <c r="E26" s="14">
        <f t="shared" si="0"/>
        <v>41794</v>
      </c>
      <c r="F26" s="14">
        <f t="shared" si="1"/>
        <v>41818</v>
      </c>
    </row>
    <row r="27" spans="1:6">
      <c r="A27" s="10" t="s">
        <v>29</v>
      </c>
      <c r="B27" t="s">
        <v>1388</v>
      </c>
      <c r="C27" t="s">
        <v>81</v>
      </c>
      <c r="D27" t="s">
        <v>82</v>
      </c>
      <c r="E27" s="14">
        <f t="shared" si="0"/>
        <v>41822</v>
      </c>
      <c r="F27" s="14">
        <f t="shared" si="1"/>
        <v>41846</v>
      </c>
    </row>
    <row r="28" spans="1:6">
      <c r="A28" s="10" t="s">
        <v>30</v>
      </c>
      <c r="B28" t="s">
        <v>1389</v>
      </c>
      <c r="C28" t="s">
        <v>82</v>
      </c>
      <c r="D28" t="s">
        <v>81</v>
      </c>
      <c r="E28" s="14">
        <f t="shared" si="0"/>
        <v>41850</v>
      </c>
      <c r="F28" s="14">
        <f t="shared" si="1"/>
        <v>41874</v>
      </c>
    </row>
    <row r="29" spans="1:6">
      <c r="A29" s="10" t="s">
        <v>31</v>
      </c>
      <c r="B29" t="s">
        <v>1390</v>
      </c>
      <c r="C29" t="s">
        <v>82</v>
      </c>
      <c r="D29" t="s">
        <v>81</v>
      </c>
      <c r="E29" s="14">
        <f t="shared" si="0"/>
        <v>41878</v>
      </c>
      <c r="F29" s="14">
        <f t="shared" si="1"/>
        <v>41902</v>
      </c>
    </row>
    <row r="30" spans="1:6">
      <c r="A30" s="10" t="s">
        <v>32</v>
      </c>
      <c r="B30" t="s">
        <v>1391</v>
      </c>
      <c r="C30" t="s">
        <v>81</v>
      </c>
      <c r="D30" t="s">
        <v>81</v>
      </c>
      <c r="E30" s="14">
        <f t="shared" si="0"/>
        <v>41906</v>
      </c>
      <c r="F30" s="14">
        <f t="shared" si="1"/>
        <v>41930</v>
      </c>
    </row>
    <row r="31" spans="1:6">
      <c r="A31" s="10" t="s">
        <v>33</v>
      </c>
      <c r="B31" t="s">
        <v>1392</v>
      </c>
      <c r="C31" t="s">
        <v>81</v>
      </c>
      <c r="D31" t="s">
        <v>82</v>
      </c>
      <c r="E31" s="14">
        <f t="shared" si="0"/>
        <v>41934</v>
      </c>
      <c r="F31" s="14">
        <f t="shared" si="1"/>
        <v>41958</v>
      </c>
    </row>
    <row r="32" spans="1:6">
      <c r="A32" s="10" t="s">
        <v>24</v>
      </c>
      <c r="B32" t="s">
        <v>1393</v>
      </c>
      <c r="C32" t="s">
        <v>81</v>
      </c>
      <c r="D32" t="s">
        <v>82</v>
      </c>
      <c r="E32" s="14">
        <f t="shared" si="0"/>
        <v>41962</v>
      </c>
      <c r="F32" s="14">
        <f t="shared" si="1"/>
        <v>41986</v>
      </c>
    </row>
    <row r="33" spans="1:6">
      <c r="A33" s="10" t="s">
        <v>25</v>
      </c>
      <c r="B33" t="s">
        <v>1394</v>
      </c>
      <c r="C33" t="s">
        <v>82</v>
      </c>
      <c r="D33" t="s">
        <v>81</v>
      </c>
      <c r="E33" s="14">
        <f t="shared" si="0"/>
        <v>41990</v>
      </c>
      <c r="F33" s="14">
        <f t="shared" si="1"/>
        <v>42014</v>
      </c>
    </row>
    <row r="34" spans="1:6">
      <c r="A34" s="10" t="s">
        <v>26</v>
      </c>
      <c r="B34" t="s">
        <v>1395</v>
      </c>
      <c r="C34" t="s">
        <v>82</v>
      </c>
      <c r="D34" t="s">
        <v>81</v>
      </c>
      <c r="E34" s="14">
        <f t="shared" si="0"/>
        <v>42018</v>
      </c>
      <c r="F34" s="14">
        <f t="shared" si="1"/>
        <v>42042</v>
      </c>
    </row>
    <row r="35" spans="1:6">
      <c r="A35" s="10" t="s">
        <v>27</v>
      </c>
      <c r="B35" t="s">
        <v>1396</v>
      </c>
      <c r="C35" t="s">
        <v>81</v>
      </c>
      <c r="D35" t="s">
        <v>81</v>
      </c>
      <c r="E35" s="14">
        <f t="shared" si="0"/>
        <v>42046</v>
      </c>
      <c r="F35" s="14">
        <f t="shared" si="1"/>
        <v>42070</v>
      </c>
    </row>
    <row r="36" spans="1:6">
      <c r="A36" s="10" t="s">
        <v>28</v>
      </c>
      <c r="B36" t="s">
        <v>1397</v>
      </c>
      <c r="C36" t="s">
        <v>81</v>
      </c>
      <c r="D36" t="s">
        <v>82</v>
      </c>
      <c r="E36" s="14">
        <f t="shared" si="0"/>
        <v>42074</v>
      </c>
      <c r="F36" s="14">
        <f t="shared" si="1"/>
        <v>42098</v>
      </c>
    </row>
    <row r="37" spans="1:6">
      <c r="A37" s="10" t="s">
        <v>29</v>
      </c>
      <c r="B37" t="s">
        <v>1398</v>
      </c>
      <c r="C37" t="s">
        <v>81</v>
      </c>
      <c r="D37" t="s">
        <v>82</v>
      </c>
      <c r="E37" s="14">
        <f t="shared" si="0"/>
        <v>42102</v>
      </c>
      <c r="F37" s="14">
        <f t="shared" si="1"/>
        <v>42126</v>
      </c>
    </row>
    <row r="38" spans="1:6">
      <c r="A38" s="10" t="s">
        <v>30</v>
      </c>
      <c r="B38" t="s">
        <v>1399</v>
      </c>
      <c r="C38" t="s">
        <v>82</v>
      </c>
      <c r="D38" t="s">
        <v>82</v>
      </c>
      <c r="E38" s="14">
        <f t="shared" si="0"/>
        <v>42130</v>
      </c>
      <c r="F38" s="14">
        <f t="shared" si="1"/>
        <v>42154</v>
      </c>
    </row>
    <row r="39" spans="1:6">
      <c r="A39" s="10" t="s">
        <v>31</v>
      </c>
      <c r="B39" t="s">
        <v>1400</v>
      </c>
      <c r="C39" t="s">
        <v>82</v>
      </c>
      <c r="D39" t="s">
        <v>82</v>
      </c>
      <c r="E39" s="14">
        <f t="shared" si="0"/>
        <v>42158</v>
      </c>
      <c r="F39" s="14">
        <f t="shared" si="1"/>
        <v>42182</v>
      </c>
    </row>
    <row r="40" spans="1:6">
      <c r="A40" s="10" t="s">
        <v>32</v>
      </c>
      <c r="B40" t="s">
        <v>1401</v>
      </c>
      <c r="C40" t="s">
        <v>81</v>
      </c>
      <c r="D40" t="s">
        <v>81</v>
      </c>
      <c r="E40" s="14">
        <f t="shared" si="0"/>
        <v>42186</v>
      </c>
      <c r="F40" s="14">
        <f t="shared" si="1"/>
        <v>42210</v>
      </c>
    </row>
    <row r="41" spans="1:6">
      <c r="A41" s="10" t="s">
        <v>33</v>
      </c>
      <c r="B41" t="s">
        <v>1402</v>
      </c>
      <c r="C41" t="s">
        <v>81</v>
      </c>
      <c r="D41" t="s">
        <v>81</v>
      </c>
      <c r="E41" s="14">
        <f t="shared" si="0"/>
        <v>42214</v>
      </c>
      <c r="F41" s="14">
        <f t="shared" si="1"/>
        <v>42238</v>
      </c>
    </row>
    <row r="42" spans="1:6">
      <c r="A42" s="10" t="s">
        <v>24</v>
      </c>
      <c r="B42" t="s">
        <v>1403</v>
      </c>
      <c r="C42" t="s">
        <v>81</v>
      </c>
      <c r="D42" t="s">
        <v>81</v>
      </c>
      <c r="E42" s="14">
        <f t="shared" si="0"/>
        <v>42242</v>
      </c>
      <c r="F42" s="14">
        <f t="shared" si="1"/>
        <v>42266</v>
      </c>
    </row>
    <row r="43" spans="1:6">
      <c r="A43" s="10" t="s">
        <v>25</v>
      </c>
      <c r="B43" t="s">
        <v>1404</v>
      </c>
      <c r="C43" t="s">
        <v>82</v>
      </c>
      <c r="D43" t="s">
        <v>82</v>
      </c>
      <c r="E43" s="14">
        <f t="shared" si="0"/>
        <v>42270</v>
      </c>
      <c r="F43" s="14">
        <f t="shared" si="1"/>
        <v>42294</v>
      </c>
    </row>
    <row r="44" spans="1:6">
      <c r="A44" s="10" t="s">
        <v>26</v>
      </c>
      <c r="B44" t="s">
        <v>1405</v>
      </c>
      <c r="C44" t="s">
        <v>82</v>
      </c>
      <c r="D44" t="s">
        <v>82</v>
      </c>
      <c r="E44" s="14">
        <f t="shared" si="0"/>
        <v>42298</v>
      </c>
      <c r="F44" s="14">
        <f t="shared" si="1"/>
        <v>42322</v>
      </c>
    </row>
    <row r="45" spans="1:6">
      <c r="A45" s="10" t="s">
        <v>27</v>
      </c>
      <c r="B45" t="s">
        <v>1406</v>
      </c>
      <c r="C45" t="s">
        <v>81</v>
      </c>
      <c r="D45" t="s">
        <v>81</v>
      </c>
      <c r="E45" s="14">
        <f t="shared" si="0"/>
        <v>42326</v>
      </c>
      <c r="F45" s="14">
        <f t="shared" si="1"/>
        <v>42350</v>
      </c>
    </row>
    <row r="46" spans="1:6">
      <c r="A46" s="10" t="s">
        <v>28</v>
      </c>
      <c r="B46" t="s">
        <v>1407</v>
      </c>
      <c r="C46" t="s">
        <v>81</v>
      </c>
      <c r="D46" t="s">
        <v>81</v>
      </c>
      <c r="E46" s="14">
        <f t="shared" si="0"/>
        <v>42354</v>
      </c>
      <c r="F46" s="14">
        <f t="shared" si="1"/>
        <v>42378</v>
      </c>
    </row>
    <row r="47" spans="1:6">
      <c r="A47" s="10" t="s">
        <v>29</v>
      </c>
      <c r="B47" t="s">
        <v>1408</v>
      </c>
      <c r="C47" t="s">
        <v>81</v>
      </c>
      <c r="D47" t="s">
        <v>81</v>
      </c>
      <c r="E47" s="14">
        <f t="shared" si="0"/>
        <v>42382</v>
      </c>
      <c r="F47" s="14">
        <f t="shared" si="1"/>
        <v>42406</v>
      </c>
    </row>
    <row r="48" spans="1:6">
      <c r="A48" s="10" t="s">
        <v>30</v>
      </c>
      <c r="B48" t="s">
        <v>1409</v>
      </c>
      <c r="C48" t="s">
        <v>82</v>
      </c>
      <c r="D48" t="s">
        <v>82</v>
      </c>
      <c r="E48" s="14">
        <f t="shared" si="0"/>
        <v>42410</v>
      </c>
      <c r="F48" s="14">
        <f t="shared" si="1"/>
        <v>42434</v>
      </c>
    </row>
    <row r="49" spans="1:6">
      <c r="A49" s="10" t="s">
        <v>31</v>
      </c>
      <c r="B49" t="s">
        <v>1410</v>
      </c>
      <c r="C49" t="s">
        <v>82</v>
      </c>
      <c r="D49" t="s">
        <v>82</v>
      </c>
      <c r="E49" s="14">
        <f t="shared" si="0"/>
        <v>42438</v>
      </c>
      <c r="F49" s="14">
        <f t="shared" si="1"/>
        <v>42462</v>
      </c>
    </row>
    <row r="50" spans="1:6">
      <c r="A50" s="10" t="s">
        <v>32</v>
      </c>
      <c r="B50" t="s">
        <v>1411</v>
      </c>
      <c r="C50" t="s">
        <v>81</v>
      </c>
      <c r="D50" t="s">
        <v>82</v>
      </c>
      <c r="E50" s="14">
        <f t="shared" si="0"/>
        <v>42466</v>
      </c>
      <c r="F50" s="14">
        <f t="shared" si="1"/>
        <v>42490</v>
      </c>
    </row>
    <row r="51" spans="1:6">
      <c r="A51" s="10" t="s">
        <v>33</v>
      </c>
      <c r="B51" t="s">
        <v>1412</v>
      </c>
      <c r="C51" t="s">
        <v>81</v>
      </c>
      <c r="D51" t="s">
        <v>82</v>
      </c>
      <c r="E51" s="14">
        <f t="shared" si="0"/>
        <v>42494</v>
      </c>
      <c r="F51" s="14">
        <f t="shared" si="1"/>
        <v>42518</v>
      </c>
    </row>
    <row r="52" spans="1:6">
      <c r="A52" s="10" t="s">
        <v>24</v>
      </c>
      <c r="B52" t="s">
        <v>1413</v>
      </c>
      <c r="C52" t="s">
        <v>81</v>
      </c>
      <c r="D52" t="s">
        <v>81</v>
      </c>
      <c r="E52" s="14">
        <f t="shared" si="0"/>
        <v>42522</v>
      </c>
      <c r="F52" s="14">
        <f t="shared" si="1"/>
        <v>42546</v>
      </c>
    </row>
    <row r="53" spans="1:6">
      <c r="A53" s="10" t="s">
        <v>25</v>
      </c>
      <c r="B53" t="s">
        <v>1414</v>
      </c>
      <c r="C53" t="s">
        <v>82</v>
      </c>
      <c r="D53" t="s">
        <v>81</v>
      </c>
      <c r="E53" s="14">
        <f t="shared" si="0"/>
        <v>42550</v>
      </c>
      <c r="F53" s="14">
        <f t="shared" si="1"/>
        <v>42574</v>
      </c>
    </row>
    <row r="54" spans="1:6">
      <c r="A54" s="10" t="s">
        <v>26</v>
      </c>
      <c r="B54" t="s">
        <v>1415</v>
      </c>
      <c r="C54" t="s">
        <v>82</v>
      </c>
      <c r="D54" t="s">
        <v>81</v>
      </c>
      <c r="E54" s="14">
        <f t="shared" si="0"/>
        <v>42578</v>
      </c>
      <c r="F54" s="14">
        <f t="shared" si="1"/>
        <v>42602</v>
      </c>
    </row>
    <row r="55" spans="1:6">
      <c r="A55" s="10" t="s">
        <v>27</v>
      </c>
      <c r="B55" t="s">
        <v>1416</v>
      </c>
      <c r="C55" t="s">
        <v>81</v>
      </c>
      <c r="D55" t="s">
        <v>82</v>
      </c>
      <c r="E55" s="14">
        <f t="shared" si="0"/>
        <v>42606</v>
      </c>
      <c r="F55" s="14">
        <f t="shared" si="1"/>
        <v>42630</v>
      </c>
    </row>
    <row r="56" spans="1:6">
      <c r="A56" s="10" t="s">
        <v>28</v>
      </c>
      <c r="B56" t="s">
        <v>1417</v>
      </c>
      <c r="C56" t="s">
        <v>81</v>
      </c>
      <c r="D56" t="s">
        <v>82</v>
      </c>
      <c r="E56" s="14">
        <f t="shared" si="0"/>
        <v>42634</v>
      </c>
      <c r="F56" s="14">
        <f t="shared" si="1"/>
        <v>42658</v>
      </c>
    </row>
    <row r="57" spans="1:6">
      <c r="A57" s="10" t="s">
        <v>29</v>
      </c>
      <c r="B57" t="s">
        <v>1418</v>
      </c>
      <c r="C57" t="s">
        <v>81</v>
      </c>
      <c r="D57" t="s">
        <v>81</v>
      </c>
      <c r="E57" s="14">
        <f t="shared" si="0"/>
        <v>42662</v>
      </c>
      <c r="F57" s="14">
        <f t="shared" si="1"/>
        <v>42686</v>
      </c>
    </row>
    <row r="58" spans="1:6">
      <c r="A58" s="10" t="s">
        <v>30</v>
      </c>
      <c r="B58" t="s">
        <v>1419</v>
      </c>
      <c r="C58" t="s">
        <v>82</v>
      </c>
      <c r="D58" t="s">
        <v>81</v>
      </c>
      <c r="E58" s="14">
        <f t="shared" si="0"/>
        <v>42690</v>
      </c>
      <c r="F58" s="14">
        <f t="shared" si="1"/>
        <v>42714</v>
      </c>
    </row>
    <row r="59" spans="1:6">
      <c r="A59" s="10" t="s">
        <v>31</v>
      </c>
      <c r="B59" t="s">
        <v>1420</v>
      </c>
      <c r="C59" t="s">
        <v>82</v>
      </c>
      <c r="D59" t="s">
        <v>81</v>
      </c>
      <c r="E59" s="14">
        <f t="shared" si="0"/>
        <v>42718</v>
      </c>
      <c r="F59" s="14">
        <f t="shared" si="1"/>
        <v>42742</v>
      </c>
    </row>
    <row r="60" spans="1:6">
      <c r="A60" s="10" t="s">
        <v>32</v>
      </c>
      <c r="B60" t="s">
        <v>1421</v>
      </c>
      <c r="C60" t="s">
        <v>81</v>
      </c>
      <c r="D60" t="s">
        <v>82</v>
      </c>
      <c r="E60" s="14">
        <f t="shared" si="0"/>
        <v>42746</v>
      </c>
      <c r="F60" s="14">
        <f t="shared" si="1"/>
        <v>42770</v>
      </c>
    </row>
    <row r="61" spans="1:6">
      <c r="A61" s="10" t="s">
        <v>33</v>
      </c>
      <c r="B61" t="s">
        <v>1422</v>
      </c>
      <c r="C61" t="s">
        <v>81</v>
      </c>
      <c r="D61" t="s">
        <v>82</v>
      </c>
      <c r="E61" s="14">
        <f t="shared" si="0"/>
        <v>42774</v>
      </c>
      <c r="F61" s="14">
        <f t="shared" si="1"/>
        <v>42798</v>
      </c>
    </row>
    <row r="62" spans="1:6">
      <c r="A62" t="s">
        <v>1213</v>
      </c>
      <c r="B62" t="s">
        <v>1423</v>
      </c>
      <c r="C62" t="s">
        <v>81</v>
      </c>
      <c r="D62" t="s">
        <v>82</v>
      </c>
      <c r="E62" s="14">
        <f t="shared" si="0"/>
        <v>42802</v>
      </c>
      <c r="F62" s="14">
        <f t="shared" si="1"/>
        <v>42826</v>
      </c>
    </row>
    <row r="63" spans="1:6">
      <c r="A63" t="s">
        <v>1214</v>
      </c>
      <c r="B63" t="s">
        <v>1424</v>
      </c>
      <c r="C63" t="s">
        <v>82</v>
      </c>
      <c r="D63" t="s">
        <v>82</v>
      </c>
      <c r="E63" s="14">
        <f t="shared" si="0"/>
        <v>42830</v>
      </c>
      <c r="F63" s="14">
        <f t="shared" si="1"/>
        <v>42854</v>
      </c>
    </row>
    <row r="64" spans="1:6">
      <c r="A64" t="s">
        <v>1215</v>
      </c>
      <c r="B64" t="s">
        <v>1425</v>
      </c>
      <c r="C64" t="s">
        <v>82</v>
      </c>
      <c r="D64" t="s">
        <v>81</v>
      </c>
      <c r="E64" s="14">
        <f t="shared" si="0"/>
        <v>42858</v>
      </c>
      <c r="F64" s="14">
        <f t="shared" si="1"/>
        <v>42882</v>
      </c>
    </row>
    <row r="65" spans="1:6">
      <c r="A65" t="s">
        <v>1216</v>
      </c>
      <c r="B65" t="s">
        <v>1426</v>
      </c>
      <c r="C65" t="s">
        <v>81</v>
      </c>
      <c r="D65" t="s">
        <v>81</v>
      </c>
      <c r="E65" s="14">
        <f t="shared" si="0"/>
        <v>42886</v>
      </c>
      <c r="F65" s="14">
        <f t="shared" si="1"/>
        <v>42910</v>
      </c>
    </row>
    <row r="66" spans="1:6">
      <c r="A66" t="s">
        <v>1217</v>
      </c>
      <c r="B66" t="s">
        <v>1427</v>
      </c>
      <c r="C66" t="s">
        <v>81</v>
      </c>
      <c r="D66" t="s">
        <v>81</v>
      </c>
      <c r="E66" s="14">
        <f t="shared" si="0"/>
        <v>42914</v>
      </c>
      <c r="F66" s="14">
        <f t="shared" si="1"/>
        <v>42938</v>
      </c>
    </row>
    <row r="67" spans="1:6">
      <c r="A67" t="s">
        <v>1218</v>
      </c>
      <c r="B67" t="s">
        <v>1428</v>
      </c>
      <c r="C67" t="s">
        <v>81</v>
      </c>
      <c r="D67" t="s">
        <v>82</v>
      </c>
      <c r="E67" s="14">
        <f t="shared" si="0"/>
        <v>42942</v>
      </c>
      <c r="F67" s="14">
        <f t="shared" si="1"/>
        <v>42966</v>
      </c>
    </row>
    <row r="68" spans="1:6">
      <c r="A68" t="s">
        <v>1219</v>
      </c>
      <c r="B68" t="s">
        <v>1429</v>
      </c>
      <c r="C68" t="s">
        <v>82</v>
      </c>
      <c r="D68" t="s">
        <v>82</v>
      </c>
      <c r="E68" s="14">
        <f t="shared" ref="E68:E131" si="2">E67+28</f>
        <v>42970</v>
      </c>
      <c r="F68" s="14">
        <f t="shared" ref="F68:F131" si="3">E68+24</f>
        <v>42994</v>
      </c>
    </row>
    <row r="69" spans="1:6">
      <c r="A69" t="s">
        <v>1220</v>
      </c>
      <c r="B69" t="s">
        <v>1430</v>
      </c>
      <c r="C69" t="s">
        <v>82</v>
      </c>
      <c r="D69" t="s">
        <v>81</v>
      </c>
      <c r="E69" s="14">
        <f t="shared" si="2"/>
        <v>42998</v>
      </c>
      <c r="F69" s="14">
        <f t="shared" si="3"/>
        <v>43022</v>
      </c>
    </row>
    <row r="70" spans="1:6">
      <c r="A70" t="s">
        <v>1221</v>
      </c>
      <c r="B70" t="s">
        <v>1431</v>
      </c>
      <c r="C70" t="s">
        <v>81</v>
      </c>
      <c r="D70" t="s">
        <v>81</v>
      </c>
      <c r="E70" s="14">
        <f t="shared" si="2"/>
        <v>43026</v>
      </c>
      <c r="F70" s="14">
        <f t="shared" si="3"/>
        <v>43050</v>
      </c>
    </row>
    <row r="71" spans="1:6">
      <c r="A71" t="s">
        <v>1222</v>
      </c>
      <c r="B71" t="s">
        <v>1432</v>
      </c>
      <c r="C71" t="s">
        <v>81</v>
      </c>
      <c r="D71" t="s">
        <v>81</v>
      </c>
      <c r="E71" s="14">
        <f t="shared" si="2"/>
        <v>43054</v>
      </c>
      <c r="F71" s="14">
        <f t="shared" si="3"/>
        <v>43078</v>
      </c>
    </row>
    <row r="72" spans="1:6">
      <c r="A72" t="s">
        <v>1223</v>
      </c>
      <c r="B72" t="s">
        <v>1433</v>
      </c>
      <c r="C72" t="s">
        <v>81</v>
      </c>
      <c r="D72" t="s">
        <v>82</v>
      </c>
      <c r="E72" s="14">
        <f t="shared" si="2"/>
        <v>43082</v>
      </c>
      <c r="F72" s="14">
        <f t="shared" si="3"/>
        <v>43106</v>
      </c>
    </row>
    <row r="73" spans="1:6">
      <c r="A73" t="s">
        <v>1224</v>
      </c>
      <c r="B73" t="s">
        <v>1434</v>
      </c>
      <c r="C73" t="s">
        <v>82</v>
      </c>
      <c r="D73" t="s">
        <v>82</v>
      </c>
      <c r="E73" s="14">
        <f t="shared" si="2"/>
        <v>43110</v>
      </c>
      <c r="F73" s="14">
        <f t="shared" si="3"/>
        <v>43134</v>
      </c>
    </row>
    <row r="74" spans="1:6">
      <c r="A74" t="s">
        <v>1225</v>
      </c>
      <c r="B74" t="s">
        <v>1435</v>
      </c>
      <c r="C74" t="s">
        <v>82</v>
      </c>
      <c r="D74" t="s">
        <v>82</v>
      </c>
      <c r="E74" s="14">
        <f t="shared" si="2"/>
        <v>43138</v>
      </c>
      <c r="F74" s="14">
        <f t="shared" si="3"/>
        <v>43162</v>
      </c>
    </row>
    <row r="75" spans="1:6">
      <c r="A75" t="s">
        <v>1226</v>
      </c>
      <c r="B75" t="s">
        <v>1436</v>
      </c>
      <c r="C75" t="s">
        <v>81</v>
      </c>
      <c r="D75" t="s">
        <v>82</v>
      </c>
      <c r="E75" s="14">
        <f t="shared" si="2"/>
        <v>43166</v>
      </c>
      <c r="F75" s="14">
        <f t="shared" si="3"/>
        <v>43190</v>
      </c>
    </row>
    <row r="76" spans="1:6">
      <c r="A76" t="s">
        <v>1227</v>
      </c>
      <c r="B76" t="s">
        <v>1437</v>
      </c>
      <c r="C76" t="s">
        <v>81</v>
      </c>
      <c r="D76" t="s">
        <v>81</v>
      </c>
      <c r="E76" s="14">
        <f t="shared" si="2"/>
        <v>43194</v>
      </c>
      <c r="F76" s="14">
        <f t="shared" si="3"/>
        <v>43218</v>
      </c>
    </row>
    <row r="77" spans="1:6">
      <c r="A77" t="s">
        <v>1228</v>
      </c>
      <c r="B77" t="s">
        <v>1438</v>
      </c>
      <c r="C77" t="s">
        <v>81</v>
      </c>
      <c r="D77" t="s">
        <v>81</v>
      </c>
      <c r="E77" s="14">
        <f t="shared" si="2"/>
        <v>43222</v>
      </c>
      <c r="F77" s="14">
        <f t="shared" si="3"/>
        <v>43246</v>
      </c>
    </row>
    <row r="78" spans="1:6">
      <c r="A78" t="s">
        <v>1229</v>
      </c>
      <c r="B78" t="s">
        <v>1439</v>
      </c>
      <c r="C78" t="s">
        <v>82</v>
      </c>
      <c r="D78" t="s">
        <v>81</v>
      </c>
      <c r="E78" s="14">
        <f t="shared" si="2"/>
        <v>43250</v>
      </c>
      <c r="F78" s="14">
        <f t="shared" si="3"/>
        <v>43274</v>
      </c>
    </row>
    <row r="79" spans="1:6">
      <c r="A79" t="s">
        <v>1230</v>
      </c>
      <c r="B79" t="s">
        <v>1440</v>
      </c>
      <c r="C79" t="s">
        <v>82</v>
      </c>
      <c r="D79" t="s">
        <v>82</v>
      </c>
      <c r="E79" s="14">
        <f t="shared" si="2"/>
        <v>43278</v>
      </c>
      <c r="F79" s="14">
        <f t="shared" si="3"/>
        <v>43302</v>
      </c>
    </row>
    <row r="80" spans="1:6">
      <c r="A80" t="s">
        <v>1231</v>
      </c>
      <c r="B80" t="s">
        <v>1441</v>
      </c>
      <c r="C80" t="s">
        <v>81</v>
      </c>
      <c r="D80" t="s">
        <v>82</v>
      </c>
      <c r="E80" s="14">
        <f t="shared" si="2"/>
        <v>43306</v>
      </c>
      <c r="F80" s="14">
        <f t="shared" si="3"/>
        <v>43330</v>
      </c>
    </row>
    <row r="81" spans="1:6">
      <c r="A81" t="s">
        <v>1232</v>
      </c>
      <c r="B81" t="s">
        <v>1442</v>
      </c>
      <c r="C81" t="s">
        <v>81</v>
      </c>
      <c r="D81" t="s">
        <v>81</v>
      </c>
      <c r="E81" s="14">
        <f t="shared" si="2"/>
        <v>43334</v>
      </c>
      <c r="F81" s="14">
        <f t="shared" si="3"/>
        <v>43358</v>
      </c>
    </row>
    <row r="82" spans="1:6">
      <c r="A82" t="s">
        <v>1233</v>
      </c>
      <c r="B82" t="s">
        <v>1443</v>
      </c>
      <c r="C82" t="s">
        <v>81</v>
      </c>
      <c r="D82" t="s">
        <v>81</v>
      </c>
      <c r="E82" s="14">
        <f t="shared" si="2"/>
        <v>43362</v>
      </c>
      <c r="F82" s="14">
        <f t="shared" si="3"/>
        <v>43386</v>
      </c>
    </row>
    <row r="83" spans="1:6">
      <c r="A83" t="s">
        <v>1234</v>
      </c>
      <c r="B83" t="s">
        <v>1444</v>
      </c>
      <c r="C83" t="s">
        <v>82</v>
      </c>
      <c r="D83" t="s">
        <v>81</v>
      </c>
      <c r="E83" s="14">
        <f t="shared" si="2"/>
        <v>43390</v>
      </c>
      <c r="F83" s="14">
        <f t="shared" si="3"/>
        <v>43414</v>
      </c>
    </row>
    <row r="84" spans="1:6">
      <c r="A84" t="s">
        <v>1235</v>
      </c>
      <c r="B84" t="s">
        <v>1445</v>
      </c>
      <c r="C84" t="s">
        <v>82</v>
      </c>
      <c r="D84" t="s">
        <v>82</v>
      </c>
      <c r="E84" s="14">
        <f t="shared" si="2"/>
        <v>43418</v>
      </c>
      <c r="F84" s="14">
        <f t="shared" si="3"/>
        <v>43442</v>
      </c>
    </row>
    <row r="85" spans="1:6">
      <c r="A85" t="s">
        <v>1236</v>
      </c>
      <c r="B85" t="s">
        <v>1446</v>
      </c>
      <c r="C85" t="s">
        <v>81</v>
      </c>
      <c r="D85" t="s">
        <v>82</v>
      </c>
      <c r="E85" s="14">
        <f t="shared" si="2"/>
        <v>43446</v>
      </c>
      <c r="F85" s="14">
        <f t="shared" si="3"/>
        <v>43470</v>
      </c>
    </row>
    <row r="86" spans="1:6">
      <c r="A86" t="s">
        <v>1237</v>
      </c>
      <c r="B86" t="s">
        <v>1447</v>
      </c>
      <c r="C86" t="s">
        <v>81</v>
      </c>
      <c r="D86" t="s">
        <v>82</v>
      </c>
      <c r="E86" s="14">
        <f t="shared" si="2"/>
        <v>43474</v>
      </c>
      <c r="F86" s="14">
        <f t="shared" si="3"/>
        <v>43498</v>
      </c>
    </row>
    <row r="87" spans="1:6">
      <c r="A87" t="s">
        <v>1238</v>
      </c>
      <c r="B87" t="s">
        <v>1448</v>
      </c>
      <c r="C87" t="s">
        <v>81</v>
      </c>
      <c r="D87" t="s">
        <v>82</v>
      </c>
      <c r="E87" s="14">
        <f t="shared" si="2"/>
        <v>43502</v>
      </c>
      <c r="F87" s="14">
        <f t="shared" si="3"/>
        <v>43526</v>
      </c>
    </row>
    <row r="88" spans="1:6">
      <c r="A88" t="s">
        <v>1239</v>
      </c>
      <c r="B88" t="s">
        <v>1449</v>
      </c>
      <c r="C88" t="s">
        <v>82</v>
      </c>
      <c r="D88" t="s">
        <v>81</v>
      </c>
      <c r="E88" s="14">
        <f t="shared" si="2"/>
        <v>43530</v>
      </c>
      <c r="F88" s="14">
        <f t="shared" si="3"/>
        <v>43554</v>
      </c>
    </row>
    <row r="89" spans="1:6">
      <c r="A89" t="s">
        <v>1240</v>
      </c>
      <c r="B89" t="s">
        <v>1450</v>
      </c>
      <c r="C89" t="s">
        <v>82</v>
      </c>
      <c r="D89" t="s">
        <v>81</v>
      </c>
      <c r="E89" s="14">
        <f t="shared" si="2"/>
        <v>43558</v>
      </c>
      <c r="F89" s="14">
        <f t="shared" si="3"/>
        <v>43582</v>
      </c>
    </row>
    <row r="90" spans="1:6">
      <c r="A90" t="s">
        <v>1241</v>
      </c>
      <c r="B90" t="s">
        <v>1451</v>
      </c>
      <c r="C90" t="s">
        <v>81</v>
      </c>
      <c r="D90" t="s">
        <v>81</v>
      </c>
      <c r="E90" s="14">
        <f t="shared" si="2"/>
        <v>43586</v>
      </c>
      <c r="F90" s="14">
        <f t="shared" si="3"/>
        <v>43610</v>
      </c>
    </row>
    <row r="91" spans="1:6">
      <c r="A91" t="s">
        <v>1242</v>
      </c>
      <c r="B91" t="s">
        <v>1452</v>
      </c>
      <c r="C91" t="s">
        <v>81</v>
      </c>
      <c r="D91" t="s">
        <v>82</v>
      </c>
      <c r="E91" s="14">
        <f t="shared" si="2"/>
        <v>43614</v>
      </c>
      <c r="F91" s="14">
        <f t="shared" si="3"/>
        <v>43638</v>
      </c>
    </row>
    <row r="92" spans="1:6">
      <c r="A92" t="s">
        <v>1243</v>
      </c>
      <c r="B92" t="s">
        <v>1453</v>
      </c>
      <c r="C92" t="s">
        <v>81</v>
      </c>
      <c r="D92" t="s">
        <v>82</v>
      </c>
      <c r="E92" s="14">
        <f t="shared" si="2"/>
        <v>43642</v>
      </c>
      <c r="F92" s="14">
        <f t="shared" si="3"/>
        <v>43666</v>
      </c>
    </row>
    <row r="93" spans="1:6">
      <c r="A93" t="s">
        <v>1244</v>
      </c>
      <c r="B93" t="s">
        <v>1454</v>
      </c>
      <c r="C93" t="s">
        <v>82</v>
      </c>
      <c r="D93" t="s">
        <v>81</v>
      </c>
      <c r="E93" s="14">
        <f t="shared" si="2"/>
        <v>43670</v>
      </c>
      <c r="F93" s="14">
        <f t="shared" si="3"/>
        <v>43694</v>
      </c>
    </row>
    <row r="94" spans="1:6">
      <c r="A94" t="s">
        <v>1245</v>
      </c>
      <c r="B94" t="s">
        <v>1455</v>
      </c>
      <c r="C94" t="s">
        <v>82</v>
      </c>
      <c r="D94" t="s">
        <v>81</v>
      </c>
      <c r="E94" s="14">
        <f t="shared" si="2"/>
        <v>43698</v>
      </c>
      <c r="F94" s="14">
        <f t="shared" si="3"/>
        <v>43722</v>
      </c>
    </row>
    <row r="95" spans="1:6">
      <c r="A95" t="s">
        <v>1246</v>
      </c>
      <c r="B95" t="s">
        <v>1456</v>
      </c>
      <c r="C95" t="s">
        <v>81</v>
      </c>
      <c r="D95" t="s">
        <v>81</v>
      </c>
      <c r="E95" s="14">
        <f t="shared" si="2"/>
        <v>43726</v>
      </c>
      <c r="F95" s="14">
        <f t="shared" si="3"/>
        <v>43750</v>
      </c>
    </row>
    <row r="96" spans="1:6">
      <c r="A96" t="s">
        <v>1247</v>
      </c>
      <c r="B96" t="s">
        <v>1457</v>
      </c>
      <c r="C96" t="s">
        <v>81</v>
      </c>
      <c r="D96" t="s">
        <v>82</v>
      </c>
      <c r="E96" s="14">
        <f t="shared" si="2"/>
        <v>43754</v>
      </c>
      <c r="F96" s="14">
        <f t="shared" si="3"/>
        <v>43778</v>
      </c>
    </row>
    <row r="97" spans="1:6">
      <c r="A97" t="s">
        <v>1248</v>
      </c>
      <c r="B97" t="s">
        <v>1458</v>
      </c>
      <c r="C97" t="s">
        <v>81</v>
      </c>
      <c r="D97" t="s">
        <v>82</v>
      </c>
      <c r="E97" s="14">
        <f t="shared" si="2"/>
        <v>43782</v>
      </c>
      <c r="F97" s="14">
        <f t="shared" si="3"/>
        <v>43806</v>
      </c>
    </row>
    <row r="98" spans="1:6">
      <c r="A98" t="s">
        <v>1249</v>
      </c>
      <c r="B98" t="s">
        <v>1459</v>
      </c>
      <c r="C98" t="s">
        <v>82</v>
      </c>
      <c r="D98" t="s">
        <v>82</v>
      </c>
      <c r="E98" s="14">
        <f t="shared" si="2"/>
        <v>43810</v>
      </c>
      <c r="F98" s="14">
        <f t="shared" si="3"/>
        <v>43834</v>
      </c>
    </row>
    <row r="99" spans="1:6">
      <c r="A99" t="s">
        <v>1250</v>
      </c>
      <c r="B99" t="s">
        <v>1460</v>
      </c>
      <c r="C99" t="s">
        <v>82</v>
      </c>
      <c r="D99" t="s">
        <v>82</v>
      </c>
      <c r="E99" s="14">
        <f>E2+23</f>
        <v>41145</v>
      </c>
      <c r="F99" s="14">
        <f>E3+24</f>
        <v>41174</v>
      </c>
    </row>
    <row r="100" spans="1:6">
      <c r="A100" t="s">
        <v>1251</v>
      </c>
      <c r="B100" t="s">
        <v>1461</v>
      </c>
      <c r="C100" t="s">
        <v>81</v>
      </c>
      <c r="D100" t="s">
        <v>81</v>
      </c>
      <c r="E100" s="14">
        <f t="shared" ref="E100:E163" si="4">E3+23</f>
        <v>41173</v>
      </c>
      <c r="F100" s="14">
        <f t="shared" ref="F100:F163" si="5">E4+24</f>
        <v>41202</v>
      </c>
    </row>
    <row r="101" spans="1:6">
      <c r="A101" t="s">
        <v>1252</v>
      </c>
      <c r="B101" t="s">
        <v>1462</v>
      </c>
      <c r="C101" t="s">
        <v>81</v>
      </c>
      <c r="D101" t="s">
        <v>81</v>
      </c>
      <c r="E101" s="14">
        <f t="shared" si="4"/>
        <v>41201</v>
      </c>
      <c r="F101" s="14">
        <f t="shared" si="5"/>
        <v>41230</v>
      </c>
    </row>
    <row r="102" spans="1:6">
      <c r="A102" t="s">
        <v>1253</v>
      </c>
      <c r="B102" t="s">
        <v>1463</v>
      </c>
      <c r="C102" t="s">
        <v>81</v>
      </c>
      <c r="D102" t="s">
        <v>81</v>
      </c>
      <c r="E102" s="14">
        <f t="shared" si="4"/>
        <v>41229</v>
      </c>
      <c r="F102" s="14">
        <f t="shared" si="5"/>
        <v>41258</v>
      </c>
    </row>
    <row r="103" spans="1:6">
      <c r="A103" t="s">
        <v>1254</v>
      </c>
      <c r="B103" t="s">
        <v>1464</v>
      </c>
      <c r="C103" t="s">
        <v>82</v>
      </c>
      <c r="D103" t="s">
        <v>82</v>
      </c>
      <c r="E103" s="14">
        <f t="shared" si="4"/>
        <v>41257</v>
      </c>
      <c r="F103" s="14">
        <f t="shared" si="5"/>
        <v>41286</v>
      </c>
    </row>
    <row r="104" spans="1:6">
      <c r="A104" t="s">
        <v>1255</v>
      </c>
      <c r="B104" t="s">
        <v>1465</v>
      </c>
      <c r="C104" t="s">
        <v>82</v>
      </c>
      <c r="D104" t="s">
        <v>82</v>
      </c>
      <c r="E104" s="14">
        <f t="shared" si="4"/>
        <v>41285</v>
      </c>
      <c r="F104" s="14">
        <f t="shared" si="5"/>
        <v>41314</v>
      </c>
    </row>
    <row r="105" spans="1:6">
      <c r="A105" t="s">
        <v>1256</v>
      </c>
      <c r="B105" t="s">
        <v>1466</v>
      </c>
      <c r="C105" t="s">
        <v>81</v>
      </c>
      <c r="D105" t="s">
        <v>81</v>
      </c>
      <c r="E105" s="14">
        <f t="shared" si="4"/>
        <v>41313</v>
      </c>
      <c r="F105" s="14">
        <f t="shared" si="5"/>
        <v>41342</v>
      </c>
    </row>
    <row r="106" spans="1:6">
      <c r="A106" t="s">
        <v>1257</v>
      </c>
      <c r="B106" t="s">
        <v>1467</v>
      </c>
      <c r="C106" t="s">
        <v>81</v>
      </c>
      <c r="D106" t="s">
        <v>81</v>
      </c>
      <c r="E106" s="14">
        <f t="shared" si="4"/>
        <v>41341</v>
      </c>
      <c r="F106" s="14">
        <f t="shared" si="5"/>
        <v>41370</v>
      </c>
    </row>
    <row r="107" spans="1:6">
      <c r="A107" t="s">
        <v>1258</v>
      </c>
      <c r="B107" t="s">
        <v>1468</v>
      </c>
      <c r="C107" t="s">
        <v>81</v>
      </c>
      <c r="D107" t="s">
        <v>81</v>
      </c>
      <c r="E107" s="14">
        <f t="shared" si="4"/>
        <v>41369</v>
      </c>
      <c r="F107" s="14">
        <f t="shared" si="5"/>
        <v>41398</v>
      </c>
    </row>
    <row r="108" spans="1:6">
      <c r="A108" t="s">
        <v>1259</v>
      </c>
      <c r="B108" t="s">
        <v>1469</v>
      </c>
      <c r="C108" t="s">
        <v>82</v>
      </c>
      <c r="D108" t="s">
        <v>82</v>
      </c>
      <c r="E108" s="14">
        <f t="shared" si="4"/>
        <v>41397</v>
      </c>
      <c r="F108" s="14">
        <f t="shared" si="5"/>
        <v>41426</v>
      </c>
    </row>
    <row r="109" spans="1:6">
      <c r="A109" t="s">
        <v>1260</v>
      </c>
      <c r="B109" t="s">
        <v>1470</v>
      </c>
      <c r="C109" t="s">
        <v>82</v>
      </c>
      <c r="D109" t="s">
        <v>82</v>
      </c>
      <c r="E109" s="14">
        <f t="shared" si="4"/>
        <v>41425</v>
      </c>
      <c r="F109" s="14">
        <f t="shared" si="5"/>
        <v>41454</v>
      </c>
    </row>
    <row r="110" spans="1:6">
      <c r="A110" t="s">
        <v>1261</v>
      </c>
      <c r="B110" t="s">
        <v>1471</v>
      </c>
      <c r="C110" t="s">
        <v>81</v>
      </c>
      <c r="D110" t="s">
        <v>82</v>
      </c>
      <c r="E110" s="14">
        <f t="shared" si="4"/>
        <v>41453</v>
      </c>
      <c r="F110" s="14">
        <f t="shared" si="5"/>
        <v>41482</v>
      </c>
    </row>
    <row r="111" spans="1:6">
      <c r="A111" t="s">
        <v>1262</v>
      </c>
      <c r="B111" t="s">
        <v>1472</v>
      </c>
      <c r="C111" t="s">
        <v>81</v>
      </c>
      <c r="D111" t="s">
        <v>82</v>
      </c>
      <c r="E111" s="14">
        <f t="shared" si="4"/>
        <v>41481</v>
      </c>
      <c r="F111" s="14">
        <f t="shared" si="5"/>
        <v>41510</v>
      </c>
    </row>
    <row r="112" spans="1:6">
      <c r="A112" t="s">
        <v>1263</v>
      </c>
      <c r="B112" t="s">
        <v>1473</v>
      </c>
      <c r="C112" t="s">
        <v>81</v>
      </c>
      <c r="D112" t="s">
        <v>81</v>
      </c>
      <c r="E112" s="14">
        <f t="shared" si="4"/>
        <v>41509</v>
      </c>
      <c r="F112" s="14">
        <f t="shared" si="5"/>
        <v>41538</v>
      </c>
    </row>
    <row r="113" spans="1:6">
      <c r="A113" t="s">
        <v>1264</v>
      </c>
      <c r="B113" t="s">
        <v>1474</v>
      </c>
      <c r="C113" t="s">
        <v>82</v>
      </c>
      <c r="D113" t="s">
        <v>81</v>
      </c>
      <c r="E113" s="14">
        <f t="shared" si="4"/>
        <v>41537</v>
      </c>
      <c r="F113" s="14">
        <f t="shared" si="5"/>
        <v>41566</v>
      </c>
    </row>
    <row r="114" spans="1:6">
      <c r="A114" t="s">
        <v>1265</v>
      </c>
      <c r="B114" t="s">
        <v>1475</v>
      </c>
      <c r="C114" t="s">
        <v>82</v>
      </c>
      <c r="D114" t="s">
        <v>81</v>
      </c>
      <c r="E114" s="14">
        <f t="shared" si="4"/>
        <v>41565</v>
      </c>
      <c r="F114" s="14">
        <f t="shared" si="5"/>
        <v>41594</v>
      </c>
    </row>
    <row r="115" spans="1:6">
      <c r="A115" t="s">
        <v>1266</v>
      </c>
      <c r="B115" t="s">
        <v>1476</v>
      </c>
      <c r="C115" t="s">
        <v>81</v>
      </c>
      <c r="D115" t="s">
        <v>82</v>
      </c>
      <c r="E115" s="14">
        <f t="shared" si="4"/>
        <v>41593</v>
      </c>
      <c r="F115" s="14">
        <f t="shared" si="5"/>
        <v>41622</v>
      </c>
    </row>
    <row r="116" spans="1:6">
      <c r="A116" t="s">
        <v>1267</v>
      </c>
      <c r="B116" t="s">
        <v>1477</v>
      </c>
      <c r="C116" t="s">
        <v>81</v>
      </c>
      <c r="D116" t="s">
        <v>82</v>
      </c>
      <c r="E116" s="14">
        <f t="shared" si="4"/>
        <v>41621</v>
      </c>
      <c r="F116" s="14">
        <f t="shared" si="5"/>
        <v>41650</v>
      </c>
    </row>
    <row r="117" spans="1:6">
      <c r="A117" t="s">
        <v>1268</v>
      </c>
      <c r="B117" t="s">
        <v>1478</v>
      </c>
      <c r="C117" t="s">
        <v>81</v>
      </c>
      <c r="D117" t="s">
        <v>81</v>
      </c>
      <c r="E117" s="14">
        <f t="shared" si="4"/>
        <v>41649</v>
      </c>
      <c r="F117" s="14">
        <f t="shared" si="5"/>
        <v>41678</v>
      </c>
    </row>
    <row r="118" spans="1:6">
      <c r="A118" t="s">
        <v>1269</v>
      </c>
      <c r="B118" t="s">
        <v>1479</v>
      </c>
      <c r="C118" t="s">
        <v>82</v>
      </c>
      <c r="D118" t="s">
        <v>81</v>
      </c>
      <c r="E118" s="14">
        <f t="shared" si="4"/>
        <v>41677</v>
      </c>
      <c r="F118" s="14">
        <f t="shared" si="5"/>
        <v>41706</v>
      </c>
    </row>
    <row r="119" spans="1:6">
      <c r="A119" t="s">
        <v>1270</v>
      </c>
      <c r="B119" t="s">
        <v>1480</v>
      </c>
      <c r="C119" t="s">
        <v>82</v>
      </c>
      <c r="D119" t="s">
        <v>81</v>
      </c>
      <c r="E119" s="14">
        <f t="shared" si="4"/>
        <v>41705</v>
      </c>
      <c r="F119" s="14">
        <f t="shared" si="5"/>
        <v>41734</v>
      </c>
    </row>
    <row r="120" spans="1:6">
      <c r="A120" t="s">
        <v>1271</v>
      </c>
      <c r="B120" t="s">
        <v>1481</v>
      </c>
      <c r="C120" t="s">
        <v>81</v>
      </c>
      <c r="D120" t="s">
        <v>82</v>
      </c>
      <c r="E120" s="14">
        <f t="shared" si="4"/>
        <v>41733</v>
      </c>
      <c r="F120" s="14">
        <f t="shared" si="5"/>
        <v>41762</v>
      </c>
    </row>
    <row r="121" spans="1:6">
      <c r="A121" t="s">
        <v>1272</v>
      </c>
      <c r="B121" t="s">
        <v>1482</v>
      </c>
      <c r="C121" t="s">
        <v>81</v>
      </c>
      <c r="D121" t="s">
        <v>82</v>
      </c>
      <c r="E121" s="14">
        <f t="shared" si="4"/>
        <v>41761</v>
      </c>
      <c r="F121" s="14">
        <f t="shared" si="5"/>
        <v>41790</v>
      </c>
    </row>
    <row r="122" spans="1:6">
      <c r="A122" t="s">
        <v>1273</v>
      </c>
      <c r="B122" t="s">
        <v>1483</v>
      </c>
      <c r="C122" t="s">
        <v>81</v>
      </c>
      <c r="D122" t="s">
        <v>82</v>
      </c>
      <c r="E122" s="14">
        <f t="shared" si="4"/>
        <v>41789</v>
      </c>
      <c r="F122" s="14">
        <f t="shared" si="5"/>
        <v>41818</v>
      </c>
    </row>
    <row r="123" spans="1:6">
      <c r="A123" t="s">
        <v>1274</v>
      </c>
      <c r="B123" t="s">
        <v>1484</v>
      </c>
      <c r="C123" t="s">
        <v>82</v>
      </c>
      <c r="D123" t="s">
        <v>82</v>
      </c>
      <c r="E123" s="14">
        <f t="shared" si="4"/>
        <v>41817</v>
      </c>
      <c r="F123" s="14">
        <f t="shared" si="5"/>
        <v>41846</v>
      </c>
    </row>
    <row r="124" spans="1:6">
      <c r="A124" t="s">
        <v>1275</v>
      </c>
      <c r="B124" t="s">
        <v>1485</v>
      </c>
      <c r="C124" t="s">
        <v>82</v>
      </c>
      <c r="D124" t="s">
        <v>81</v>
      </c>
      <c r="E124" s="14">
        <f t="shared" si="4"/>
        <v>41845</v>
      </c>
      <c r="F124" s="14">
        <f t="shared" si="5"/>
        <v>41874</v>
      </c>
    </row>
    <row r="125" spans="1:6">
      <c r="A125" t="s">
        <v>1276</v>
      </c>
      <c r="B125" t="s">
        <v>1486</v>
      </c>
      <c r="C125" t="s">
        <v>81</v>
      </c>
      <c r="D125" t="s">
        <v>81</v>
      </c>
      <c r="E125" s="14">
        <f t="shared" si="4"/>
        <v>41873</v>
      </c>
      <c r="F125" s="14">
        <f t="shared" si="5"/>
        <v>41902</v>
      </c>
    </row>
    <row r="126" spans="1:6">
      <c r="A126" t="s">
        <v>1277</v>
      </c>
      <c r="B126" t="s">
        <v>1487</v>
      </c>
      <c r="C126" t="s">
        <v>81</v>
      </c>
      <c r="D126" t="s">
        <v>81</v>
      </c>
      <c r="E126" s="14">
        <f t="shared" si="4"/>
        <v>41901</v>
      </c>
      <c r="F126" s="14">
        <f t="shared" si="5"/>
        <v>41930</v>
      </c>
    </row>
    <row r="127" spans="1:6">
      <c r="A127" t="s">
        <v>1278</v>
      </c>
      <c r="B127" t="s">
        <v>1488</v>
      </c>
      <c r="C127" t="s">
        <v>81</v>
      </c>
      <c r="D127" t="s">
        <v>82</v>
      </c>
      <c r="E127" s="14">
        <f t="shared" si="4"/>
        <v>41929</v>
      </c>
      <c r="F127" s="14">
        <f t="shared" si="5"/>
        <v>41958</v>
      </c>
    </row>
    <row r="128" spans="1:6">
      <c r="A128" t="s">
        <v>1279</v>
      </c>
      <c r="B128" t="s">
        <v>1489</v>
      </c>
      <c r="C128" t="s">
        <v>82</v>
      </c>
      <c r="D128" t="s">
        <v>82</v>
      </c>
      <c r="E128" s="14">
        <f t="shared" si="4"/>
        <v>41957</v>
      </c>
      <c r="F128" s="14">
        <f t="shared" si="5"/>
        <v>41986</v>
      </c>
    </row>
    <row r="129" spans="1:6">
      <c r="A129" t="s">
        <v>1280</v>
      </c>
      <c r="B129" t="s">
        <v>1490</v>
      </c>
      <c r="C129" t="s">
        <v>82</v>
      </c>
      <c r="D129" t="s">
        <v>81</v>
      </c>
      <c r="E129" s="14">
        <f t="shared" si="4"/>
        <v>41985</v>
      </c>
      <c r="F129" s="14">
        <f t="shared" si="5"/>
        <v>42014</v>
      </c>
    </row>
    <row r="130" spans="1:6">
      <c r="A130" t="s">
        <v>1281</v>
      </c>
      <c r="B130" t="s">
        <v>1491</v>
      </c>
      <c r="C130" t="s">
        <v>81</v>
      </c>
      <c r="D130" t="s">
        <v>81</v>
      </c>
      <c r="E130" s="14">
        <f t="shared" si="4"/>
        <v>42013</v>
      </c>
      <c r="F130" s="14">
        <f t="shared" si="5"/>
        <v>42042</v>
      </c>
    </row>
    <row r="131" spans="1:6">
      <c r="A131" t="s">
        <v>1282</v>
      </c>
      <c r="B131" t="s">
        <v>1492</v>
      </c>
      <c r="C131" t="s">
        <v>81</v>
      </c>
      <c r="D131" t="s">
        <v>81</v>
      </c>
      <c r="E131" s="14">
        <f t="shared" si="4"/>
        <v>42041</v>
      </c>
      <c r="F131" s="14">
        <f t="shared" si="5"/>
        <v>42070</v>
      </c>
    </row>
    <row r="132" spans="1:6">
      <c r="A132" t="s">
        <v>1283</v>
      </c>
      <c r="B132" t="s">
        <v>1493</v>
      </c>
      <c r="C132" t="s">
        <v>81</v>
      </c>
      <c r="D132" t="s">
        <v>82</v>
      </c>
      <c r="E132" s="14">
        <f t="shared" si="4"/>
        <v>42069</v>
      </c>
      <c r="F132" s="14">
        <f t="shared" si="5"/>
        <v>42098</v>
      </c>
    </row>
    <row r="133" spans="1:6">
      <c r="A133" t="s">
        <v>1284</v>
      </c>
      <c r="B133" t="s">
        <v>1494</v>
      </c>
      <c r="C133" t="s">
        <v>82</v>
      </c>
      <c r="D133" t="s">
        <v>82</v>
      </c>
      <c r="E133" s="14">
        <f t="shared" si="4"/>
        <v>42097</v>
      </c>
      <c r="F133" s="14">
        <f t="shared" si="5"/>
        <v>42126</v>
      </c>
    </row>
    <row r="134" spans="1:6">
      <c r="A134" t="s">
        <v>1285</v>
      </c>
      <c r="B134" t="s">
        <v>1495</v>
      </c>
      <c r="C134" t="s">
        <v>82</v>
      </c>
      <c r="D134" t="s">
        <v>82</v>
      </c>
      <c r="E134" s="14">
        <f t="shared" si="4"/>
        <v>42125</v>
      </c>
      <c r="F134" s="14">
        <f t="shared" si="5"/>
        <v>42154</v>
      </c>
    </row>
    <row r="135" spans="1:6">
      <c r="A135" t="s">
        <v>1286</v>
      </c>
      <c r="B135" t="s">
        <v>1496</v>
      </c>
      <c r="C135" t="s">
        <v>81</v>
      </c>
      <c r="D135" t="s">
        <v>82</v>
      </c>
      <c r="E135" s="14">
        <f t="shared" si="4"/>
        <v>42153</v>
      </c>
      <c r="F135" s="14">
        <f t="shared" si="5"/>
        <v>42182</v>
      </c>
    </row>
    <row r="136" spans="1:6">
      <c r="A136" t="s">
        <v>1287</v>
      </c>
      <c r="B136" t="s">
        <v>1497</v>
      </c>
      <c r="C136" t="s">
        <v>81</v>
      </c>
      <c r="D136" t="s">
        <v>81</v>
      </c>
      <c r="E136" s="14">
        <f t="shared" si="4"/>
        <v>42181</v>
      </c>
      <c r="F136" s="14">
        <f t="shared" si="5"/>
        <v>42210</v>
      </c>
    </row>
    <row r="137" spans="1:6">
      <c r="A137" t="s">
        <v>1288</v>
      </c>
      <c r="B137" t="s">
        <v>1498</v>
      </c>
      <c r="C137" t="s">
        <v>81</v>
      </c>
      <c r="D137" t="s">
        <v>81</v>
      </c>
      <c r="E137" s="14">
        <f t="shared" si="4"/>
        <v>42209</v>
      </c>
      <c r="F137" s="14">
        <f t="shared" si="5"/>
        <v>42238</v>
      </c>
    </row>
    <row r="138" spans="1:6">
      <c r="A138" t="s">
        <v>1289</v>
      </c>
      <c r="B138" t="s">
        <v>1499</v>
      </c>
      <c r="C138" t="s">
        <v>82</v>
      </c>
      <c r="D138" t="s">
        <v>81</v>
      </c>
      <c r="E138" s="14">
        <f t="shared" si="4"/>
        <v>42237</v>
      </c>
      <c r="F138" s="14">
        <f t="shared" si="5"/>
        <v>42266</v>
      </c>
    </row>
    <row r="139" spans="1:6">
      <c r="A139" t="s">
        <v>1290</v>
      </c>
      <c r="B139" t="s">
        <v>1500</v>
      </c>
      <c r="C139" t="s">
        <v>82</v>
      </c>
      <c r="D139" t="s">
        <v>82</v>
      </c>
      <c r="E139" s="14">
        <f t="shared" si="4"/>
        <v>42265</v>
      </c>
      <c r="F139" s="14">
        <f t="shared" si="5"/>
        <v>42294</v>
      </c>
    </row>
    <row r="140" spans="1:6">
      <c r="A140" t="s">
        <v>1291</v>
      </c>
      <c r="B140" t="s">
        <v>1501</v>
      </c>
      <c r="C140" t="s">
        <v>81</v>
      </c>
      <c r="D140" t="s">
        <v>82</v>
      </c>
      <c r="E140" s="14">
        <f t="shared" si="4"/>
        <v>42293</v>
      </c>
      <c r="F140" s="14">
        <f t="shared" si="5"/>
        <v>42322</v>
      </c>
    </row>
    <row r="141" spans="1:6">
      <c r="A141" t="s">
        <v>1292</v>
      </c>
      <c r="B141" t="s">
        <v>1502</v>
      </c>
      <c r="C141" t="s">
        <v>81</v>
      </c>
      <c r="D141" t="s">
        <v>81</v>
      </c>
      <c r="E141" s="14">
        <f t="shared" si="4"/>
        <v>42321</v>
      </c>
      <c r="F141" s="14">
        <f t="shared" si="5"/>
        <v>42350</v>
      </c>
    </row>
    <row r="142" spans="1:6">
      <c r="A142" t="s">
        <v>1293</v>
      </c>
      <c r="B142" t="s">
        <v>1503</v>
      </c>
      <c r="C142" t="s">
        <v>81</v>
      </c>
      <c r="D142" t="s">
        <v>81</v>
      </c>
      <c r="E142" s="14">
        <f t="shared" si="4"/>
        <v>42349</v>
      </c>
      <c r="F142" s="14">
        <f t="shared" si="5"/>
        <v>42378</v>
      </c>
    </row>
    <row r="143" spans="1:6">
      <c r="A143" t="s">
        <v>1294</v>
      </c>
      <c r="B143" t="s">
        <v>1504</v>
      </c>
      <c r="C143" t="s">
        <v>82</v>
      </c>
      <c r="D143" t="s">
        <v>81</v>
      </c>
      <c r="E143" s="14">
        <f t="shared" si="4"/>
        <v>42377</v>
      </c>
      <c r="F143" s="14">
        <f t="shared" si="5"/>
        <v>42406</v>
      </c>
    </row>
    <row r="144" spans="1:6">
      <c r="A144" t="s">
        <v>1295</v>
      </c>
      <c r="B144" t="s">
        <v>1505</v>
      </c>
      <c r="C144" t="s">
        <v>82</v>
      </c>
      <c r="D144" t="s">
        <v>82</v>
      </c>
      <c r="E144" s="14">
        <f t="shared" si="4"/>
        <v>42405</v>
      </c>
      <c r="F144" s="14">
        <f t="shared" si="5"/>
        <v>42434</v>
      </c>
    </row>
    <row r="145" spans="1:6">
      <c r="A145" t="s">
        <v>1296</v>
      </c>
      <c r="B145" t="s">
        <v>1506</v>
      </c>
      <c r="C145" t="s">
        <v>81</v>
      </c>
      <c r="D145" t="s">
        <v>82</v>
      </c>
      <c r="E145" s="14">
        <f t="shared" si="4"/>
        <v>42433</v>
      </c>
      <c r="F145" s="14">
        <f t="shared" si="5"/>
        <v>42462</v>
      </c>
    </row>
    <row r="146" spans="1:6">
      <c r="A146" t="s">
        <v>1297</v>
      </c>
      <c r="B146" t="s">
        <v>1507</v>
      </c>
      <c r="C146" t="s">
        <v>81</v>
      </c>
      <c r="D146" t="s">
        <v>82</v>
      </c>
      <c r="E146" s="14">
        <f t="shared" si="4"/>
        <v>42461</v>
      </c>
      <c r="F146" s="14">
        <f t="shared" si="5"/>
        <v>42490</v>
      </c>
    </row>
    <row r="147" spans="1:6">
      <c r="A147" t="s">
        <v>1298</v>
      </c>
      <c r="B147" t="s">
        <v>1508</v>
      </c>
      <c r="C147" t="s">
        <v>81</v>
      </c>
      <c r="D147" t="s">
        <v>82</v>
      </c>
      <c r="E147" s="14">
        <f t="shared" si="4"/>
        <v>42489</v>
      </c>
      <c r="F147" s="14">
        <f t="shared" si="5"/>
        <v>42518</v>
      </c>
    </row>
    <row r="148" spans="1:6">
      <c r="A148" t="s">
        <v>1299</v>
      </c>
      <c r="B148" t="s">
        <v>1509</v>
      </c>
      <c r="C148" t="s">
        <v>82</v>
      </c>
      <c r="D148" t="s">
        <v>81</v>
      </c>
      <c r="E148" s="14">
        <f t="shared" si="4"/>
        <v>42517</v>
      </c>
      <c r="F148" s="14">
        <f t="shared" si="5"/>
        <v>42546</v>
      </c>
    </row>
    <row r="149" spans="1:6">
      <c r="A149" t="s">
        <v>1300</v>
      </c>
      <c r="B149" t="s">
        <v>1510</v>
      </c>
      <c r="C149" t="s">
        <v>82</v>
      </c>
      <c r="D149" t="s">
        <v>81</v>
      </c>
      <c r="E149" s="14">
        <f t="shared" si="4"/>
        <v>42545</v>
      </c>
      <c r="F149" s="14">
        <f t="shared" si="5"/>
        <v>42574</v>
      </c>
    </row>
    <row r="150" spans="1:6">
      <c r="A150" t="s">
        <v>1301</v>
      </c>
      <c r="B150" t="s">
        <v>1511</v>
      </c>
      <c r="C150" t="s">
        <v>81</v>
      </c>
      <c r="D150" t="s">
        <v>81</v>
      </c>
      <c r="E150" s="14">
        <f t="shared" si="4"/>
        <v>42573</v>
      </c>
      <c r="F150" s="14">
        <f t="shared" si="5"/>
        <v>42602</v>
      </c>
    </row>
    <row r="151" spans="1:6">
      <c r="A151" t="s">
        <v>1302</v>
      </c>
      <c r="B151" t="s">
        <v>1512</v>
      </c>
      <c r="C151" t="s">
        <v>81</v>
      </c>
      <c r="D151" t="s">
        <v>82</v>
      </c>
      <c r="E151" s="14">
        <f t="shared" si="4"/>
        <v>42601</v>
      </c>
      <c r="F151" s="14">
        <f t="shared" si="5"/>
        <v>42630</v>
      </c>
    </row>
    <row r="152" spans="1:6">
      <c r="A152" t="s">
        <v>1303</v>
      </c>
      <c r="B152" t="s">
        <v>1513</v>
      </c>
      <c r="C152" t="s">
        <v>81</v>
      </c>
      <c r="D152" t="s">
        <v>82</v>
      </c>
      <c r="E152" s="14">
        <f t="shared" si="4"/>
        <v>42629</v>
      </c>
      <c r="F152" s="14">
        <f t="shared" si="5"/>
        <v>42658</v>
      </c>
    </row>
    <row r="153" spans="1:6">
      <c r="A153" t="s">
        <v>1304</v>
      </c>
      <c r="B153" t="s">
        <v>1514</v>
      </c>
      <c r="C153" t="s">
        <v>82</v>
      </c>
      <c r="D153" t="s">
        <v>81</v>
      </c>
      <c r="E153" s="14">
        <f t="shared" si="4"/>
        <v>42657</v>
      </c>
      <c r="F153" s="14">
        <f t="shared" si="5"/>
        <v>42686</v>
      </c>
    </row>
    <row r="154" spans="1:6">
      <c r="A154" t="s">
        <v>1305</v>
      </c>
      <c r="B154" t="s">
        <v>1515</v>
      </c>
      <c r="C154" t="s">
        <v>82</v>
      </c>
      <c r="D154" t="s">
        <v>81</v>
      </c>
      <c r="E154" s="14">
        <f t="shared" si="4"/>
        <v>42685</v>
      </c>
      <c r="F154" s="14">
        <f t="shared" si="5"/>
        <v>42714</v>
      </c>
    </row>
    <row r="155" spans="1:6">
      <c r="A155" t="s">
        <v>1306</v>
      </c>
      <c r="B155" t="s">
        <v>1516</v>
      </c>
      <c r="C155" t="s">
        <v>81</v>
      </c>
      <c r="D155" t="s">
        <v>81</v>
      </c>
      <c r="E155" s="14">
        <f t="shared" si="4"/>
        <v>42713</v>
      </c>
      <c r="F155" s="14">
        <f t="shared" si="5"/>
        <v>42742</v>
      </c>
    </row>
    <row r="156" spans="1:6">
      <c r="A156" t="s">
        <v>1307</v>
      </c>
      <c r="B156" t="s">
        <v>1517</v>
      </c>
      <c r="C156" t="s">
        <v>81</v>
      </c>
      <c r="D156" t="s">
        <v>82</v>
      </c>
      <c r="E156" s="14">
        <f t="shared" si="4"/>
        <v>42741</v>
      </c>
      <c r="F156" s="14">
        <f t="shared" si="5"/>
        <v>42770</v>
      </c>
    </row>
    <row r="157" spans="1:6">
      <c r="A157" t="s">
        <v>1308</v>
      </c>
      <c r="B157" t="s">
        <v>1518</v>
      </c>
      <c r="C157" t="s">
        <v>81</v>
      </c>
      <c r="D157" t="s">
        <v>82</v>
      </c>
      <c r="E157" s="14">
        <f t="shared" si="4"/>
        <v>42769</v>
      </c>
      <c r="F157" s="14">
        <f t="shared" si="5"/>
        <v>42798</v>
      </c>
    </row>
    <row r="158" spans="1:6">
      <c r="A158" t="s">
        <v>1309</v>
      </c>
      <c r="B158" t="s">
        <v>1519</v>
      </c>
      <c r="C158" t="s">
        <v>82</v>
      </c>
      <c r="D158" t="s">
        <v>82</v>
      </c>
      <c r="E158" s="14">
        <f t="shared" si="4"/>
        <v>42797</v>
      </c>
      <c r="F158" s="14">
        <f t="shared" si="5"/>
        <v>42826</v>
      </c>
    </row>
    <row r="159" spans="1:6">
      <c r="A159" t="s">
        <v>1310</v>
      </c>
      <c r="B159" t="s">
        <v>1520</v>
      </c>
      <c r="C159" t="s">
        <v>82</v>
      </c>
      <c r="D159" t="s">
        <v>82</v>
      </c>
      <c r="E159" s="14">
        <f t="shared" si="4"/>
        <v>42825</v>
      </c>
      <c r="F159" s="14">
        <f t="shared" si="5"/>
        <v>42854</v>
      </c>
    </row>
    <row r="160" spans="1:6">
      <c r="A160" t="s">
        <v>1311</v>
      </c>
      <c r="B160" t="s">
        <v>1521</v>
      </c>
      <c r="C160" t="s">
        <v>81</v>
      </c>
      <c r="D160" t="s">
        <v>81</v>
      </c>
      <c r="E160" s="14">
        <f t="shared" si="4"/>
        <v>42853</v>
      </c>
      <c r="F160" s="14">
        <f t="shared" si="5"/>
        <v>42882</v>
      </c>
    </row>
    <row r="161" spans="1:6">
      <c r="A161" t="s">
        <v>1312</v>
      </c>
      <c r="B161" t="s">
        <v>1522</v>
      </c>
      <c r="C161" t="s">
        <v>81</v>
      </c>
      <c r="D161" t="s">
        <v>81</v>
      </c>
      <c r="E161" s="14">
        <f t="shared" si="4"/>
        <v>42881</v>
      </c>
      <c r="F161" s="14">
        <f t="shared" si="5"/>
        <v>42910</v>
      </c>
    </row>
    <row r="162" spans="1:6">
      <c r="A162" t="s">
        <v>1313</v>
      </c>
      <c r="B162" t="s">
        <v>1523</v>
      </c>
      <c r="C162" t="s">
        <v>81</v>
      </c>
      <c r="D162" t="s">
        <v>81</v>
      </c>
      <c r="E162" s="14">
        <f t="shared" si="4"/>
        <v>42909</v>
      </c>
      <c r="F162" s="14">
        <f t="shared" si="5"/>
        <v>42938</v>
      </c>
    </row>
    <row r="163" spans="1:6">
      <c r="A163" t="s">
        <v>1314</v>
      </c>
      <c r="B163" t="s">
        <v>1524</v>
      </c>
      <c r="C163" t="s">
        <v>82</v>
      </c>
      <c r="D163" t="s">
        <v>82</v>
      </c>
      <c r="E163" s="14">
        <f t="shared" si="4"/>
        <v>42937</v>
      </c>
      <c r="F163" s="14">
        <f t="shared" si="5"/>
        <v>42966</v>
      </c>
    </row>
    <row r="164" spans="1:6">
      <c r="A164" t="s">
        <v>1315</v>
      </c>
      <c r="B164" t="s">
        <v>1525</v>
      </c>
      <c r="C164" t="s">
        <v>82</v>
      </c>
      <c r="D164" t="s">
        <v>82</v>
      </c>
      <c r="E164" s="14">
        <f t="shared" ref="E164:E201" si="6">E67+23</f>
        <v>42965</v>
      </c>
      <c r="F164" s="14">
        <f t="shared" ref="F164:F201" si="7">E68+24</f>
        <v>42994</v>
      </c>
    </row>
    <row r="165" spans="1:6">
      <c r="A165" t="s">
        <v>1316</v>
      </c>
      <c r="B165" t="s">
        <v>1526</v>
      </c>
      <c r="C165" t="s">
        <v>81</v>
      </c>
      <c r="D165" t="s">
        <v>81</v>
      </c>
      <c r="E165" s="14">
        <f t="shared" si="6"/>
        <v>42993</v>
      </c>
      <c r="F165" s="14">
        <f t="shared" si="7"/>
        <v>43022</v>
      </c>
    </row>
    <row r="166" spans="1:6">
      <c r="A166" t="s">
        <v>1317</v>
      </c>
      <c r="B166" t="s">
        <v>1527</v>
      </c>
      <c r="C166" t="s">
        <v>81</v>
      </c>
      <c r="D166" t="s">
        <v>81</v>
      </c>
      <c r="E166" s="14">
        <f t="shared" si="6"/>
        <v>43021</v>
      </c>
      <c r="F166" s="14">
        <f t="shared" si="7"/>
        <v>43050</v>
      </c>
    </row>
    <row r="167" spans="1:6">
      <c r="A167" t="s">
        <v>1318</v>
      </c>
      <c r="B167" t="s">
        <v>1528</v>
      </c>
      <c r="C167" t="s">
        <v>81</v>
      </c>
      <c r="D167" t="s">
        <v>81</v>
      </c>
      <c r="E167" s="14">
        <f t="shared" si="6"/>
        <v>43049</v>
      </c>
      <c r="F167" s="14">
        <f t="shared" si="7"/>
        <v>43078</v>
      </c>
    </row>
    <row r="168" spans="1:6">
      <c r="A168" t="s">
        <v>1319</v>
      </c>
      <c r="B168" t="s">
        <v>1529</v>
      </c>
      <c r="C168" t="s">
        <v>82</v>
      </c>
      <c r="D168" t="s">
        <v>82</v>
      </c>
      <c r="E168" s="14">
        <f t="shared" si="6"/>
        <v>43077</v>
      </c>
      <c r="F168" s="14">
        <f t="shared" si="7"/>
        <v>43106</v>
      </c>
    </row>
    <row r="169" spans="1:6">
      <c r="A169" t="s">
        <v>1320</v>
      </c>
      <c r="B169" t="s">
        <v>1530</v>
      </c>
      <c r="C169" t="s">
        <v>82</v>
      </c>
      <c r="D169" t="s">
        <v>82</v>
      </c>
      <c r="E169" s="14">
        <f t="shared" si="6"/>
        <v>43105</v>
      </c>
      <c r="F169" s="14">
        <f t="shared" si="7"/>
        <v>43134</v>
      </c>
    </row>
    <row r="170" spans="1:6">
      <c r="A170" t="s">
        <v>1321</v>
      </c>
      <c r="B170" t="s">
        <v>1531</v>
      </c>
      <c r="C170" t="s">
        <v>81</v>
      </c>
      <c r="D170" t="s">
        <v>82</v>
      </c>
      <c r="E170" s="14">
        <f t="shared" si="6"/>
        <v>43133</v>
      </c>
      <c r="F170" s="14">
        <f t="shared" si="7"/>
        <v>43162</v>
      </c>
    </row>
    <row r="171" spans="1:6">
      <c r="A171" t="s">
        <v>1322</v>
      </c>
      <c r="B171" t="s">
        <v>1532</v>
      </c>
      <c r="C171" t="s">
        <v>81</v>
      </c>
      <c r="D171" t="s">
        <v>82</v>
      </c>
      <c r="E171" s="14">
        <f t="shared" si="6"/>
        <v>43161</v>
      </c>
      <c r="F171" s="14">
        <f t="shared" si="7"/>
        <v>43190</v>
      </c>
    </row>
    <row r="172" spans="1:6">
      <c r="A172" t="s">
        <v>1323</v>
      </c>
      <c r="B172" t="s">
        <v>1533</v>
      </c>
      <c r="C172" t="s">
        <v>81</v>
      </c>
      <c r="D172" t="s">
        <v>81</v>
      </c>
      <c r="E172" s="14">
        <f t="shared" si="6"/>
        <v>43189</v>
      </c>
      <c r="F172" s="14">
        <f t="shared" si="7"/>
        <v>43218</v>
      </c>
    </row>
    <row r="173" spans="1:6">
      <c r="A173" t="s">
        <v>1324</v>
      </c>
      <c r="B173" t="s">
        <v>1534</v>
      </c>
      <c r="C173" t="s">
        <v>82</v>
      </c>
      <c r="D173" t="s">
        <v>81</v>
      </c>
      <c r="E173" s="14">
        <f t="shared" si="6"/>
        <v>43217</v>
      </c>
      <c r="F173" s="14">
        <f t="shared" si="7"/>
        <v>43246</v>
      </c>
    </row>
    <row r="174" spans="1:6">
      <c r="A174" t="s">
        <v>1325</v>
      </c>
      <c r="B174" t="s">
        <v>1535</v>
      </c>
      <c r="C174" t="s">
        <v>82</v>
      </c>
      <c r="D174" t="s">
        <v>81</v>
      </c>
      <c r="E174" s="14">
        <f t="shared" si="6"/>
        <v>43245</v>
      </c>
      <c r="F174" s="14">
        <f t="shared" si="7"/>
        <v>43274</v>
      </c>
    </row>
    <row r="175" spans="1:6">
      <c r="A175" t="s">
        <v>1326</v>
      </c>
      <c r="B175" t="s">
        <v>1536</v>
      </c>
      <c r="C175" t="s">
        <v>81</v>
      </c>
      <c r="D175" t="s">
        <v>82</v>
      </c>
      <c r="E175" s="14">
        <f t="shared" si="6"/>
        <v>43273</v>
      </c>
      <c r="F175" s="14">
        <f t="shared" si="7"/>
        <v>43302</v>
      </c>
    </row>
    <row r="176" spans="1:6">
      <c r="A176" t="s">
        <v>1327</v>
      </c>
      <c r="B176" t="s">
        <v>1537</v>
      </c>
      <c r="C176" t="s">
        <v>81</v>
      </c>
      <c r="D176" t="s">
        <v>82</v>
      </c>
      <c r="E176" s="14">
        <f t="shared" si="6"/>
        <v>43301</v>
      </c>
      <c r="F176" s="14">
        <f t="shared" si="7"/>
        <v>43330</v>
      </c>
    </row>
    <row r="177" spans="1:6">
      <c r="A177" t="s">
        <v>1328</v>
      </c>
      <c r="B177" t="s">
        <v>1538</v>
      </c>
      <c r="C177" t="s">
        <v>81</v>
      </c>
      <c r="D177" t="s">
        <v>81</v>
      </c>
      <c r="E177" s="14">
        <f t="shared" si="6"/>
        <v>43329</v>
      </c>
      <c r="F177" s="14">
        <f t="shared" si="7"/>
        <v>43358</v>
      </c>
    </row>
    <row r="178" spans="1:6">
      <c r="A178" t="s">
        <v>1329</v>
      </c>
      <c r="B178" t="s">
        <v>1539</v>
      </c>
      <c r="C178" t="s">
        <v>82</v>
      </c>
      <c r="D178" t="s">
        <v>81</v>
      </c>
      <c r="E178" s="14">
        <f t="shared" si="6"/>
        <v>43357</v>
      </c>
      <c r="F178" s="14">
        <f t="shared" si="7"/>
        <v>43386</v>
      </c>
    </row>
    <row r="179" spans="1:6">
      <c r="A179" t="s">
        <v>1330</v>
      </c>
      <c r="B179" t="s">
        <v>1540</v>
      </c>
      <c r="C179" t="s">
        <v>82</v>
      </c>
      <c r="D179" t="s">
        <v>81</v>
      </c>
      <c r="E179" s="14">
        <f t="shared" si="6"/>
        <v>43385</v>
      </c>
      <c r="F179" s="14">
        <f t="shared" si="7"/>
        <v>43414</v>
      </c>
    </row>
    <row r="180" spans="1:6">
      <c r="A180" t="s">
        <v>1331</v>
      </c>
      <c r="B180" t="s">
        <v>1541</v>
      </c>
      <c r="C180" t="s">
        <v>81</v>
      </c>
      <c r="D180" t="s">
        <v>82</v>
      </c>
      <c r="E180" s="14">
        <f t="shared" si="6"/>
        <v>43413</v>
      </c>
      <c r="F180" s="14">
        <f t="shared" si="7"/>
        <v>43442</v>
      </c>
    </row>
    <row r="181" spans="1:6">
      <c r="A181" t="s">
        <v>1332</v>
      </c>
      <c r="B181" t="s">
        <v>1542</v>
      </c>
      <c r="C181" t="s">
        <v>81</v>
      </c>
      <c r="D181" t="s">
        <v>82</v>
      </c>
      <c r="E181" s="14">
        <f t="shared" si="6"/>
        <v>43441</v>
      </c>
      <c r="F181" s="14">
        <f t="shared" si="7"/>
        <v>43470</v>
      </c>
    </row>
    <row r="182" spans="1:6">
      <c r="A182" t="s">
        <v>1333</v>
      </c>
      <c r="B182" t="s">
        <v>1543</v>
      </c>
      <c r="C182" t="s">
        <v>81</v>
      </c>
      <c r="D182" t="s">
        <v>82</v>
      </c>
      <c r="E182" s="14">
        <f t="shared" si="6"/>
        <v>43469</v>
      </c>
      <c r="F182" s="14">
        <f t="shared" si="7"/>
        <v>43498</v>
      </c>
    </row>
    <row r="183" spans="1:6">
      <c r="A183" t="s">
        <v>1334</v>
      </c>
      <c r="B183" t="s">
        <v>1544</v>
      </c>
      <c r="C183" t="s">
        <v>82</v>
      </c>
      <c r="D183" t="s">
        <v>82</v>
      </c>
      <c r="E183" s="14">
        <f t="shared" si="6"/>
        <v>43497</v>
      </c>
      <c r="F183" s="14">
        <f t="shared" si="7"/>
        <v>43526</v>
      </c>
    </row>
    <row r="184" spans="1:6">
      <c r="A184" t="s">
        <v>1335</v>
      </c>
      <c r="B184" t="s">
        <v>1545</v>
      </c>
      <c r="C184" t="s">
        <v>82</v>
      </c>
      <c r="D184" t="s">
        <v>81</v>
      </c>
      <c r="E184" s="14">
        <f t="shared" si="6"/>
        <v>43525</v>
      </c>
      <c r="F184" s="14">
        <f t="shared" si="7"/>
        <v>43554</v>
      </c>
    </row>
    <row r="185" spans="1:6">
      <c r="A185" t="s">
        <v>1336</v>
      </c>
      <c r="B185" t="s">
        <v>1546</v>
      </c>
      <c r="C185" t="s">
        <v>81</v>
      </c>
      <c r="D185" t="s">
        <v>81</v>
      </c>
      <c r="E185" s="14">
        <f t="shared" si="6"/>
        <v>43553</v>
      </c>
      <c r="F185" s="14">
        <f t="shared" si="7"/>
        <v>43582</v>
      </c>
    </row>
    <row r="186" spans="1:6">
      <c r="A186" t="s">
        <v>1337</v>
      </c>
      <c r="B186" t="s">
        <v>1547</v>
      </c>
      <c r="C186" t="s">
        <v>81</v>
      </c>
      <c r="D186" t="s">
        <v>81</v>
      </c>
      <c r="E186" s="14">
        <f t="shared" si="6"/>
        <v>43581</v>
      </c>
      <c r="F186" s="14">
        <f t="shared" si="7"/>
        <v>43610</v>
      </c>
    </row>
    <row r="187" spans="1:6">
      <c r="A187" t="s">
        <v>1338</v>
      </c>
      <c r="B187" t="s">
        <v>1548</v>
      </c>
      <c r="C187" t="s">
        <v>81</v>
      </c>
      <c r="D187" t="s">
        <v>82</v>
      </c>
      <c r="E187" s="14">
        <f t="shared" si="6"/>
        <v>43609</v>
      </c>
      <c r="F187" s="14">
        <f t="shared" si="7"/>
        <v>43638</v>
      </c>
    </row>
    <row r="188" spans="1:6">
      <c r="A188" t="s">
        <v>1339</v>
      </c>
      <c r="B188" t="s">
        <v>1549</v>
      </c>
      <c r="C188" t="s">
        <v>82</v>
      </c>
      <c r="D188" t="s">
        <v>82</v>
      </c>
      <c r="E188" s="14">
        <f t="shared" si="6"/>
        <v>43637</v>
      </c>
      <c r="F188" s="14">
        <f t="shared" si="7"/>
        <v>43666</v>
      </c>
    </row>
    <row r="189" spans="1:6">
      <c r="A189" t="s">
        <v>1340</v>
      </c>
      <c r="B189" t="s">
        <v>1550</v>
      </c>
      <c r="C189" t="s">
        <v>82</v>
      </c>
      <c r="D189" t="s">
        <v>81</v>
      </c>
      <c r="E189" s="14">
        <f t="shared" si="6"/>
        <v>43665</v>
      </c>
      <c r="F189" s="14">
        <f t="shared" si="7"/>
        <v>43694</v>
      </c>
    </row>
    <row r="190" spans="1:6">
      <c r="A190" t="s">
        <v>1341</v>
      </c>
      <c r="B190" t="s">
        <v>1551</v>
      </c>
      <c r="C190" t="s">
        <v>81</v>
      </c>
      <c r="D190" t="s">
        <v>81</v>
      </c>
      <c r="E190" s="14">
        <f t="shared" si="6"/>
        <v>43693</v>
      </c>
      <c r="F190" s="14">
        <f t="shared" si="7"/>
        <v>43722</v>
      </c>
    </row>
    <row r="191" spans="1:6">
      <c r="A191" t="s">
        <v>1342</v>
      </c>
      <c r="B191" t="s">
        <v>1552</v>
      </c>
      <c r="C191" t="s">
        <v>81</v>
      </c>
      <c r="D191" t="s">
        <v>81</v>
      </c>
      <c r="E191" s="14">
        <f t="shared" si="6"/>
        <v>43721</v>
      </c>
      <c r="F191" s="14">
        <f t="shared" si="7"/>
        <v>43750</v>
      </c>
    </row>
    <row r="192" spans="1:6">
      <c r="A192" t="s">
        <v>1343</v>
      </c>
      <c r="B192" t="s">
        <v>1553</v>
      </c>
      <c r="C192" t="s">
        <v>81</v>
      </c>
      <c r="D192" t="s">
        <v>82</v>
      </c>
      <c r="E192" s="14">
        <f t="shared" si="6"/>
        <v>43749</v>
      </c>
      <c r="F192" s="14">
        <f t="shared" si="7"/>
        <v>43778</v>
      </c>
    </row>
    <row r="193" spans="1:6">
      <c r="A193" t="s">
        <v>1344</v>
      </c>
      <c r="B193" t="s">
        <v>1554</v>
      </c>
      <c r="C193" t="s">
        <v>82</v>
      </c>
      <c r="D193" t="s">
        <v>82</v>
      </c>
      <c r="E193" s="14">
        <f t="shared" si="6"/>
        <v>43777</v>
      </c>
      <c r="F193" s="14">
        <f t="shared" si="7"/>
        <v>43806</v>
      </c>
    </row>
    <row r="194" spans="1:6">
      <c r="A194" t="s">
        <v>1345</v>
      </c>
      <c r="B194" t="s">
        <v>1555</v>
      </c>
      <c r="C194" t="s">
        <v>82</v>
      </c>
      <c r="D194" t="s">
        <v>82</v>
      </c>
      <c r="E194" s="14">
        <f t="shared" si="6"/>
        <v>43805</v>
      </c>
      <c r="F194" s="14">
        <f t="shared" si="7"/>
        <v>43834</v>
      </c>
    </row>
    <row r="195" spans="1:6">
      <c r="A195" t="s">
        <v>1346</v>
      </c>
      <c r="B195" t="s">
        <v>1556</v>
      </c>
      <c r="C195" t="s">
        <v>81</v>
      </c>
      <c r="D195" t="s">
        <v>82</v>
      </c>
      <c r="E195" s="14">
        <f t="shared" si="6"/>
        <v>43833</v>
      </c>
      <c r="F195" s="14">
        <f t="shared" si="7"/>
        <v>41169</v>
      </c>
    </row>
    <row r="196" spans="1:6">
      <c r="A196" t="s">
        <v>1347</v>
      </c>
      <c r="B196" t="s">
        <v>1557</v>
      </c>
      <c r="C196" t="s">
        <v>81</v>
      </c>
      <c r="D196" t="s">
        <v>81</v>
      </c>
      <c r="E196" s="14">
        <f t="shared" si="6"/>
        <v>41168</v>
      </c>
      <c r="F196" s="14">
        <f t="shared" si="7"/>
        <v>41197</v>
      </c>
    </row>
    <row r="197" spans="1:6">
      <c r="A197" t="s">
        <v>1348</v>
      </c>
      <c r="B197" t="s">
        <v>1558</v>
      </c>
      <c r="C197" t="s">
        <v>81</v>
      </c>
      <c r="D197" t="s">
        <v>81</v>
      </c>
      <c r="E197" s="14">
        <f t="shared" si="6"/>
        <v>41196</v>
      </c>
      <c r="F197" s="14">
        <f t="shared" si="7"/>
        <v>41225</v>
      </c>
    </row>
    <row r="198" spans="1:6">
      <c r="A198" t="s">
        <v>1349</v>
      </c>
      <c r="B198" t="s">
        <v>1559</v>
      </c>
      <c r="C198" t="s">
        <v>82</v>
      </c>
      <c r="D198" t="s">
        <v>81</v>
      </c>
      <c r="E198" s="14">
        <f t="shared" si="6"/>
        <v>41224</v>
      </c>
      <c r="F198" s="14">
        <f t="shared" si="7"/>
        <v>41253</v>
      </c>
    </row>
    <row r="199" spans="1:6">
      <c r="A199" t="s">
        <v>1350</v>
      </c>
      <c r="B199" t="s">
        <v>1560</v>
      </c>
      <c r="C199" t="s">
        <v>82</v>
      </c>
      <c r="D199" t="s">
        <v>82</v>
      </c>
      <c r="E199" s="14">
        <f t="shared" si="6"/>
        <v>41252</v>
      </c>
      <c r="F199" s="14">
        <f t="shared" si="7"/>
        <v>41281</v>
      </c>
    </row>
    <row r="200" spans="1:6">
      <c r="A200" t="s">
        <v>1351</v>
      </c>
      <c r="B200" t="s">
        <v>1561</v>
      </c>
      <c r="C200" t="s">
        <v>81</v>
      </c>
      <c r="D200" t="s">
        <v>82</v>
      </c>
      <c r="E200" s="14">
        <f t="shared" si="6"/>
        <v>41280</v>
      </c>
      <c r="F200" s="14">
        <f t="shared" si="7"/>
        <v>41309</v>
      </c>
    </row>
    <row r="201" spans="1:6">
      <c r="A201" t="s">
        <v>1352</v>
      </c>
      <c r="B201" t="s">
        <v>1562</v>
      </c>
      <c r="C201" t="s">
        <v>81</v>
      </c>
      <c r="D201" t="s">
        <v>81</v>
      </c>
      <c r="E201" s="14">
        <f t="shared" si="6"/>
        <v>41308</v>
      </c>
      <c r="F201" s="14">
        <f t="shared" si="7"/>
        <v>41337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/>
  <dimension ref="A1"/>
  <sheetViews>
    <sheetView topLeftCell="B1" workbookViewId="0"/>
  </sheetViews>
  <sheetFormatPr baseColWidth="10"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"/>
  <sheetViews>
    <sheetView topLeftCell="C1" workbookViewId="0">
      <selection activeCell="L13" sqref="L13"/>
    </sheetView>
  </sheetViews>
  <sheetFormatPr baseColWidth="10"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/>
  <dimension ref="A1:B12"/>
  <sheetViews>
    <sheetView workbookViewId="0"/>
  </sheetViews>
  <sheetFormatPr baseColWidth="10" defaultColWidth="11.42578125" defaultRowHeight="15"/>
  <cols>
    <col min="1" max="1" width="21" bestFit="1" customWidth="1"/>
    <col min="2" max="2" width="18.85546875" bestFit="1" customWidth="1"/>
  </cols>
  <sheetData>
    <row r="1" spans="1:2">
      <c r="A1" s="11" t="s">
        <v>98</v>
      </c>
      <c r="B1" t="s">
        <v>106</v>
      </c>
    </row>
    <row r="2" spans="1:2">
      <c r="A2" s="12" t="s">
        <v>44</v>
      </c>
      <c r="B2" s="13">
        <v>1</v>
      </c>
    </row>
    <row r="3" spans="1:2">
      <c r="A3" s="12" t="s">
        <v>50</v>
      </c>
      <c r="B3" s="13">
        <v>1</v>
      </c>
    </row>
    <row r="4" spans="1:2">
      <c r="A4" s="12" t="s">
        <v>38</v>
      </c>
      <c r="B4" s="13">
        <v>1</v>
      </c>
    </row>
    <row r="5" spans="1:2">
      <c r="A5" s="12" t="s">
        <v>40</v>
      </c>
      <c r="B5" s="13">
        <v>1</v>
      </c>
    </row>
    <row r="6" spans="1:2">
      <c r="A6" s="12" t="s">
        <v>49</v>
      </c>
      <c r="B6" s="13">
        <v>1</v>
      </c>
    </row>
    <row r="7" spans="1:2">
      <c r="A7" s="12" t="s">
        <v>48</v>
      </c>
      <c r="B7" s="13">
        <v>1</v>
      </c>
    </row>
    <row r="8" spans="1:2">
      <c r="A8" s="12" t="s">
        <v>46</v>
      </c>
      <c r="B8" s="13">
        <v>1</v>
      </c>
    </row>
    <row r="9" spans="1:2">
      <c r="A9" s="12" t="s">
        <v>47</v>
      </c>
      <c r="B9" s="13">
        <v>1</v>
      </c>
    </row>
    <row r="10" spans="1:2">
      <c r="A10" s="12" t="s">
        <v>43</v>
      </c>
      <c r="B10" s="13">
        <v>1</v>
      </c>
    </row>
    <row r="11" spans="1:2">
      <c r="A11" s="12" t="s">
        <v>42</v>
      </c>
      <c r="B11" s="13">
        <v>1</v>
      </c>
    </row>
    <row r="12" spans="1:2">
      <c r="A12" s="12" t="s">
        <v>99</v>
      </c>
      <c r="B12" s="13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7"/>
  <dimension ref="A1:E12"/>
  <sheetViews>
    <sheetView workbookViewId="0">
      <selection activeCell="F14" sqref="F14"/>
    </sheetView>
  </sheetViews>
  <sheetFormatPr baseColWidth="10" defaultColWidth="11.42578125" defaultRowHeight="15"/>
  <sheetData>
    <row r="1" spans="1:5">
      <c r="A1" s="4" t="s">
        <v>15</v>
      </c>
      <c r="B1" s="4" t="s">
        <v>88</v>
      </c>
      <c r="C1" s="4" t="s">
        <v>89</v>
      </c>
      <c r="D1" s="4" t="s">
        <v>97</v>
      </c>
      <c r="E1" s="4" t="s">
        <v>90</v>
      </c>
    </row>
    <row r="2" spans="1:5">
      <c r="A2">
        <v>1</v>
      </c>
      <c r="B2" t="s">
        <v>5</v>
      </c>
      <c r="C2" t="s">
        <v>91</v>
      </c>
      <c r="D2" t="s">
        <v>24</v>
      </c>
      <c r="E2">
        <v>4</v>
      </c>
    </row>
    <row r="3" spans="1:5">
      <c r="A3">
        <v>2</v>
      </c>
      <c r="B3" t="s">
        <v>7</v>
      </c>
      <c r="C3" t="s">
        <v>6</v>
      </c>
      <c r="D3" t="s">
        <v>25</v>
      </c>
      <c r="E3">
        <v>2</v>
      </c>
    </row>
    <row r="4" spans="1:5">
      <c r="A4">
        <v>3</v>
      </c>
      <c r="B4" t="s">
        <v>17</v>
      </c>
      <c r="C4" t="s">
        <v>16</v>
      </c>
      <c r="D4" t="s">
        <v>26</v>
      </c>
      <c r="E4">
        <v>4</v>
      </c>
    </row>
    <row r="5" spans="1:5">
      <c r="A5">
        <v>4</v>
      </c>
      <c r="B5" t="s">
        <v>59</v>
      </c>
      <c r="C5" t="s">
        <v>58</v>
      </c>
      <c r="D5" t="s">
        <v>27</v>
      </c>
      <c r="E5">
        <v>3</v>
      </c>
    </row>
    <row r="6" spans="1:5">
      <c r="A6">
        <v>5</v>
      </c>
      <c r="B6" t="s">
        <v>61</v>
      </c>
      <c r="C6" t="s">
        <v>60</v>
      </c>
      <c r="D6" t="s">
        <v>28</v>
      </c>
      <c r="E6">
        <v>3</v>
      </c>
    </row>
    <row r="7" spans="1:5">
      <c r="A7">
        <v>6</v>
      </c>
      <c r="B7" t="s">
        <v>63</v>
      </c>
      <c r="C7" t="s">
        <v>62</v>
      </c>
      <c r="D7" t="s">
        <v>29</v>
      </c>
      <c r="E7">
        <v>1</v>
      </c>
    </row>
    <row r="8" spans="1:5">
      <c r="A8">
        <v>7</v>
      </c>
      <c r="B8" t="s">
        <v>65</v>
      </c>
      <c r="C8" t="s">
        <v>64</v>
      </c>
      <c r="D8" s="1" t="s">
        <v>30</v>
      </c>
      <c r="E8">
        <v>2</v>
      </c>
    </row>
    <row r="9" spans="1:5">
      <c r="A9">
        <v>8</v>
      </c>
      <c r="B9" t="s">
        <v>67</v>
      </c>
      <c r="C9" t="s">
        <v>66</v>
      </c>
      <c r="D9" s="1" t="s">
        <v>31</v>
      </c>
      <c r="E9">
        <v>1</v>
      </c>
    </row>
    <row r="10" spans="1:5">
      <c r="A10">
        <v>9</v>
      </c>
      <c r="B10" t="s">
        <v>69</v>
      </c>
      <c r="C10" t="s">
        <v>68</v>
      </c>
      <c r="D10" s="1" t="s">
        <v>32</v>
      </c>
      <c r="E10">
        <v>0</v>
      </c>
    </row>
    <row r="11" spans="1:5">
      <c r="A11">
        <v>10</v>
      </c>
      <c r="B11" t="s">
        <v>71</v>
      </c>
      <c r="C11" t="s">
        <v>70</v>
      </c>
      <c r="D11" s="1" t="s">
        <v>33</v>
      </c>
      <c r="E11">
        <v>2</v>
      </c>
    </row>
    <row r="12" spans="1:5">
      <c r="A12">
        <v>7</v>
      </c>
      <c r="B12" t="s">
        <v>65</v>
      </c>
      <c r="C12" t="s">
        <v>64</v>
      </c>
      <c r="D12" s="1" t="s">
        <v>32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F201"/>
  <sheetViews>
    <sheetView topLeftCell="A11" workbookViewId="0">
      <selection activeCell="G8" sqref="G8"/>
    </sheetView>
  </sheetViews>
  <sheetFormatPr baseColWidth="10" defaultColWidth="11.42578125" defaultRowHeight="15"/>
  <cols>
    <col min="1" max="1" width="15.42578125" customWidth="1"/>
    <col min="2" max="2" width="20.5703125" customWidth="1"/>
  </cols>
  <sheetData>
    <row r="1" spans="1:6">
      <c r="A1" s="16" t="s">
        <v>988</v>
      </c>
      <c r="B1" s="16" t="s">
        <v>987</v>
      </c>
    </row>
    <row r="2" spans="1:6">
      <c r="A2">
        <v>1</v>
      </c>
      <c r="B2" t="s">
        <v>1008</v>
      </c>
      <c r="C2">
        <v>1000</v>
      </c>
      <c r="D2" t="s">
        <v>851</v>
      </c>
      <c r="E2" t="str">
        <f>CONCATENATE(UPPER(D2),C2)</f>
        <v>CAR1000</v>
      </c>
      <c r="F2" t="s">
        <v>1008</v>
      </c>
    </row>
    <row r="3" spans="1:6">
      <c r="A3">
        <f>A2*8</f>
        <v>8</v>
      </c>
      <c r="B3" t="s">
        <v>1009</v>
      </c>
      <c r="C3">
        <f>C2+1</f>
        <v>1001</v>
      </c>
      <c r="D3" t="s">
        <v>853</v>
      </c>
      <c r="E3" t="str">
        <f t="shared" ref="E3:E66" si="0">CONCATENATE(UPPER(D3),C3)</f>
        <v>COW1001</v>
      </c>
      <c r="F3" t="s">
        <v>1009</v>
      </c>
    </row>
    <row r="4" spans="1:6">
      <c r="A4">
        <f>A3+89</f>
        <v>97</v>
      </c>
      <c r="B4" t="s">
        <v>1010</v>
      </c>
      <c r="C4">
        <f t="shared" ref="C4:C67" si="1">C3+1</f>
        <v>1002</v>
      </c>
      <c r="D4" t="s">
        <v>864</v>
      </c>
      <c r="E4" t="str">
        <f t="shared" si="0"/>
        <v>CUT1002</v>
      </c>
      <c r="F4" t="s">
        <v>1010</v>
      </c>
    </row>
    <row r="5" spans="1:6">
      <c r="A5">
        <f t="shared" ref="A5:A68" si="2">A4+89</f>
        <v>186</v>
      </c>
      <c r="B5" t="s">
        <v>1011</v>
      </c>
      <c r="C5">
        <f t="shared" si="1"/>
        <v>1003</v>
      </c>
      <c r="D5" t="s">
        <v>637</v>
      </c>
      <c r="E5" t="str">
        <f t="shared" si="0"/>
        <v>WIN1003</v>
      </c>
      <c r="F5" t="s">
        <v>1011</v>
      </c>
    </row>
    <row r="6" spans="1:6">
      <c r="A6">
        <f t="shared" si="2"/>
        <v>275</v>
      </c>
      <c r="B6" t="s">
        <v>1012</v>
      </c>
      <c r="C6">
        <f t="shared" si="1"/>
        <v>1004</v>
      </c>
      <c r="D6" t="s">
        <v>627</v>
      </c>
      <c r="E6" t="str">
        <f t="shared" si="0"/>
        <v>GEM1004</v>
      </c>
      <c r="F6" t="s">
        <v>1012</v>
      </c>
    </row>
    <row r="7" spans="1:6">
      <c r="A7">
        <f t="shared" si="2"/>
        <v>364</v>
      </c>
      <c r="B7" t="s">
        <v>1013</v>
      </c>
      <c r="C7">
        <f t="shared" si="1"/>
        <v>1005</v>
      </c>
      <c r="D7" t="s">
        <v>989</v>
      </c>
      <c r="E7" t="str">
        <f t="shared" si="0"/>
        <v>EGG1005</v>
      </c>
      <c r="F7" t="s">
        <v>1013</v>
      </c>
    </row>
    <row r="8" spans="1:6">
      <c r="A8">
        <f t="shared" si="2"/>
        <v>453</v>
      </c>
      <c r="B8" t="s">
        <v>1014</v>
      </c>
      <c r="C8">
        <f t="shared" si="1"/>
        <v>1006</v>
      </c>
      <c r="D8" t="s">
        <v>990</v>
      </c>
      <c r="E8" t="str">
        <f t="shared" si="0"/>
        <v>MUD1006</v>
      </c>
      <c r="F8" t="s">
        <v>1014</v>
      </c>
    </row>
    <row r="9" spans="1:6">
      <c r="A9">
        <f t="shared" si="2"/>
        <v>542</v>
      </c>
      <c r="B9" t="s">
        <v>1015</v>
      </c>
      <c r="C9">
        <f t="shared" si="1"/>
        <v>1007</v>
      </c>
      <c r="D9" t="s">
        <v>573</v>
      </c>
      <c r="E9" t="str">
        <f t="shared" si="0"/>
        <v>TON1007</v>
      </c>
      <c r="F9" t="s">
        <v>1015</v>
      </c>
    </row>
    <row r="10" spans="1:6">
      <c r="A10">
        <f t="shared" si="2"/>
        <v>631</v>
      </c>
      <c r="B10" t="s">
        <v>1016</v>
      </c>
      <c r="C10">
        <f t="shared" si="1"/>
        <v>1008</v>
      </c>
      <c r="D10" t="s">
        <v>615</v>
      </c>
      <c r="E10" t="str">
        <f t="shared" si="0"/>
        <v>ANT1008</v>
      </c>
      <c r="F10" t="s">
        <v>1016</v>
      </c>
    </row>
    <row r="11" spans="1:6">
      <c r="A11">
        <f t="shared" si="2"/>
        <v>720</v>
      </c>
      <c r="B11" t="s">
        <v>1017</v>
      </c>
      <c r="C11">
        <f t="shared" si="1"/>
        <v>1009</v>
      </c>
      <c r="D11" t="s">
        <v>641</v>
      </c>
      <c r="E11" t="str">
        <f t="shared" si="0"/>
        <v>NUN1009</v>
      </c>
      <c r="F11" t="s">
        <v>1017</v>
      </c>
    </row>
    <row r="12" spans="1:6">
      <c r="A12">
        <f t="shared" si="2"/>
        <v>809</v>
      </c>
      <c r="B12" t="s">
        <v>1018</v>
      </c>
      <c r="C12">
        <f t="shared" si="1"/>
        <v>1010</v>
      </c>
      <c r="D12" t="s">
        <v>578</v>
      </c>
      <c r="E12" t="str">
        <f t="shared" si="0"/>
        <v>TAX1010</v>
      </c>
      <c r="F12" t="s">
        <v>1018</v>
      </c>
    </row>
    <row r="13" spans="1:6">
      <c r="A13">
        <f t="shared" si="2"/>
        <v>898</v>
      </c>
      <c r="B13" t="s">
        <v>1019</v>
      </c>
      <c r="C13">
        <f t="shared" si="1"/>
        <v>1011</v>
      </c>
      <c r="D13" t="s">
        <v>862</v>
      </c>
      <c r="E13" t="str">
        <f t="shared" si="0"/>
        <v>BAR1011</v>
      </c>
      <c r="F13" t="s">
        <v>1019</v>
      </c>
    </row>
    <row r="14" spans="1:6">
      <c r="A14">
        <f t="shared" si="2"/>
        <v>987</v>
      </c>
      <c r="B14" t="s">
        <v>1020</v>
      </c>
      <c r="C14">
        <f t="shared" si="1"/>
        <v>1012</v>
      </c>
      <c r="D14" t="s">
        <v>875</v>
      </c>
      <c r="E14" t="str">
        <f t="shared" si="0"/>
        <v>BAN1012</v>
      </c>
      <c r="F14" t="s">
        <v>1020</v>
      </c>
    </row>
    <row r="15" spans="1:6">
      <c r="A15">
        <f t="shared" si="2"/>
        <v>1076</v>
      </c>
      <c r="B15" t="s">
        <v>1021</v>
      </c>
      <c r="C15">
        <f t="shared" si="1"/>
        <v>1013</v>
      </c>
      <c r="D15" t="s">
        <v>991</v>
      </c>
      <c r="E15" t="str">
        <f t="shared" si="0"/>
        <v>ASH1013</v>
      </c>
      <c r="F15" t="s">
        <v>1021</v>
      </c>
    </row>
    <row r="16" spans="1:6">
      <c r="A16">
        <f t="shared" si="2"/>
        <v>1165</v>
      </c>
      <c r="B16" t="s">
        <v>1022</v>
      </c>
      <c r="C16">
        <f t="shared" si="1"/>
        <v>1014</v>
      </c>
      <c r="D16" t="s">
        <v>992</v>
      </c>
      <c r="E16" t="str">
        <f t="shared" si="0"/>
        <v>NAP1014</v>
      </c>
      <c r="F16" t="s">
        <v>1022</v>
      </c>
    </row>
    <row r="17" spans="1:6">
      <c r="A17">
        <f t="shared" si="2"/>
        <v>1254</v>
      </c>
      <c r="B17" t="s">
        <v>1023</v>
      </c>
      <c r="C17">
        <f t="shared" si="1"/>
        <v>1015</v>
      </c>
      <c r="D17" t="s">
        <v>993</v>
      </c>
      <c r="E17" t="str">
        <f t="shared" si="0"/>
        <v>LAY1015</v>
      </c>
      <c r="F17" t="s">
        <v>1023</v>
      </c>
    </row>
    <row r="18" spans="1:6">
      <c r="A18">
        <f t="shared" si="2"/>
        <v>1343</v>
      </c>
      <c r="B18" t="s">
        <v>1024</v>
      </c>
      <c r="C18">
        <f t="shared" si="1"/>
        <v>1016</v>
      </c>
      <c r="D18" t="s">
        <v>994</v>
      </c>
      <c r="E18" t="str">
        <f t="shared" si="0"/>
        <v>HEN1016</v>
      </c>
      <c r="F18" t="s">
        <v>1024</v>
      </c>
    </row>
    <row r="19" spans="1:6">
      <c r="A19">
        <f t="shared" si="2"/>
        <v>1432</v>
      </c>
      <c r="B19" t="s">
        <v>1025</v>
      </c>
      <c r="C19">
        <f t="shared" si="1"/>
        <v>1017</v>
      </c>
      <c r="D19" t="s">
        <v>881</v>
      </c>
      <c r="E19" t="str">
        <f t="shared" si="0"/>
        <v>POT1017</v>
      </c>
      <c r="F19" t="s">
        <v>1025</v>
      </c>
    </row>
    <row r="20" spans="1:6">
      <c r="A20">
        <f t="shared" si="2"/>
        <v>1521</v>
      </c>
      <c r="B20" t="s">
        <v>1026</v>
      </c>
      <c r="C20">
        <f t="shared" si="1"/>
        <v>1018</v>
      </c>
      <c r="D20" t="s">
        <v>586</v>
      </c>
      <c r="E20" t="str">
        <f t="shared" si="0"/>
        <v>NEW1018</v>
      </c>
      <c r="F20" t="s">
        <v>1026</v>
      </c>
    </row>
    <row r="21" spans="1:6">
      <c r="A21">
        <f t="shared" si="2"/>
        <v>1610</v>
      </c>
      <c r="B21" t="s">
        <v>1027</v>
      </c>
      <c r="C21">
        <f t="shared" si="1"/>
        <v>1019</v>
      </c>
      <c r="D21" t="s">
        <v>589</v>
      </c>
      <c r="E21" t="str">
        <f t="shared" si="0"/>
        <v>PIG1019</v>
      </c>
      <c r="F21" t="s">
        <v>1027</v>
      </c>
    </row>
    <row r="22" spans="1:6">
      <c r="A22">
        <f t="shared" si="2"/>
        <v>1699</v>
      </c>
      <c r="B22" t="s">
        <v>1028</v>
      </c>
      <c r="C22">
        <f t="shared" si="1"/>
        <v>1020</v>
      </c>
      <c r="D22" t="s">
        <v>577</v>
      </c>
      <c r="E22" t="str">
        <f t="shared" si="0"/>
        <v>GOD1020</v>
      </c>
      <c r="F22" t="s">
        <v>1028</v>
      </c>
    </row>
    <row r="23" spans="1:6">
      <c r="A23">
        <f t="shared" si="2"/>
        <v>1788</v>
      </c>
      <c r="B23" t="s">
        <v>1029</v>
      </c>
      <c r="C23">
        <f t="shared" si="1"/>
        <v>1021</v>
      </c>
      <c r="D23" t="s">
        <v>995</v>
      </c>
      <c r="E23" t="str">
        <f t="shared" si="0"/>
        <v>RUB1021</v>
      </c>
      <c r="F23" t="s">
        <v>1029</v>
      </c>
    </row>
    <row r="24" spans="1:6">
      <c r="A24">
        <f t="shared" si="2"/>
        <v>1877</v>
      </c>
      <c r="B24" t="s">
        <v>1030</v>
      </c>
      <c r="C24">
        <f t="shared" si="1"/>
        <v>1022</v>
      </c>
      <c r="D24" t="s">
        <v>605</v>
      </c>
      <c r="E24" t="str">
        <f t="shared" si="0"/>
        <v>HAY1022</v>
      </c>
      <c r="F24" t="s">
        <v>1030</v>
      </c>
    </row>
    <row r="25" spans="1:6">
      <c r="A25">
        <f t="shared" si="2"/>
        <v>1966</v>
      </c>
      <c r="B25" t="s">
        <v>1031</v>
      </c>
      <c r="C25">
        <f t="shared" si="1"/>
        <v>1023</v>
      </c>
      <c r="D25" t="s">
        <v>849</v>
      </c>
      <c r="E25" t="str">
        <f t="shared" si="0"/>
        <v>BIN1023</v>
      </c>
      <c r="F25" t="s">
        <v>1031</v>
      </c>
    </row>
    <row r="26" spans="1:6">
      <c r="A26">
        <f t="shared" si="2"/>
        <v>2055</v>
      </c>
      <c r="B26" t="s">
        <v>1032</v>
      </c>
      <c r="C26">
        <f t="shared" si="1"/>
        <v>1024</v>
      </c>
      <c r="D26" t="s">
        <v>866</v>
      </c>
      <c r="E26" t="str">
        <f t="shared" si="0"/>
        <v>SET1024</v>
      </c>
      <c r="F26" t="s">
        <v>1032</v>
      </c>
    </row>
    <row r="27" spans="1:6">
      <c r="A27">
        <f t="shared" si="2"/>
        <v>2144</v>
      </c>
      <c r="B27" t="s">
        <v>1033</v>
      </c>
      <c r="C27">
        <f t="shared" si="1"/>
        <v>1025</v>
      </c>
      <c r="D27" t="s">
        <v>628</v>
      </c>
      <c r="E27" t="str">
        <f t="shared" si="0"/>
        <v>SUM1025</v>
      </c>
      <c r="F27" t="s">
        <v>1033</v>
      </c>
    </row>
    <row r="28" spans="1:6">
      <c r="A28">
        <f t="shared" si="2"/>
        <v>2233</v>
      </c>
      <c r="B28" t="s">
        <v>1034</v>
      </c>
      <c r="C28">
        <f t="shared" si="1"/>
        <v>1026</v>
      </c>
      <c r="D28" t="s">
        <v>622</v>
      </c>
      <c r="E28" t="str">
        <f t="shared" si="0"/>
        <v>TRY1026</v>
      </c>
      <c r="F28" t="s">
        <v>1034</v>
      </c>
    </row>
    <row r="29" spans="1:6">
      <c r="A29">
        <f t="shared" si="2"/>
        <v>2322</v>
      </c>
      <c r="B29" t="s">
        <v>1035</v>
      </c>
      <c r="C29">
        <f t="shared" si="1"/>
        <v>1027</v>
      </c>
      <c r="D29" t="s">
        <v>878</v>
      </c>
      <c r="E29" t="str">
        <f t="shared" si="0"/>
        <v>JET1027</v>
      </c>
      <c r="F29" t="s">
        <v>1035</v>
      </c>
    </row>
    <row r="30" spans="1:6">
      <c r="A30">
        <f t="shared" si="2"/>
        <v>2411</v>
      </c>
      <c r="B30" t="s">
        <v>1036</v>
      </c>
      <c r="C30">
        <f t="shared" si="1"/>
        <v>1028</v>
      </c>
      <c r="D30" t="s">
        <v>623</v>
      </c>
      <c r="E30" t="str">
        <f t="shared" si="0"/>
        <v>BOW1028</v>
      </c>
      <c r="F30" t="s">
        <v>1036</v>
      </c>
    </row>
    <row r="31" spans="1:6">
      <c r="A31">
        <f t="shared" si="2"/>
        <v>2500</v>
      </c>
      <c r="B31" t="s">
        <v>1037</v>
      </c>
      <c r="C31">
        <f t="shared" si="1"/>
        <v>1029</v>
      </c>
      <c r="D31" t="s">
        <v>576</v>
      </c>
      <c r="E31" t="str">
        <f t="shared" si="0"/>
        <v>FAX1029</v>
      </c>
      <c r="F31" t="s">
        <v>1037</v>
      </c>
    </row>
    <row r="32" spans="1:6">
      <c r="A32">
        <f t="shared" si="2"/>
        <v>2589</v>
      </c>
      <c r="B32" t="s">
        <v>1038</v>
      </c>
      <c r="C32">
        <f t="shared" si="1"/>
        <v>1030</v>
      </c>
      <c r="D32" t="s">
        <v>616</v>
      </c>
      <c r="E32" t="str">
        <f t="shared" si="0"/>
        <v>PIT1030</v>
      </c>
      <c r="F32" t="s">
        <v>1038</v>
      </c>
    </row>
    <row r="33" spans="1:6">
      <c r="A33">
        <f t="shared" si="2"/>
        <v>2678</v>
      </c>
      <c r="B33" t="s">
        <v>1039</v>
      </c>
      <c r="C33">
        <f t="shared" si="1"/>
        <v>1031</v>
      </c>
      <c r="D33" t="s">
        <v>868</v>
      </c>
      <c r="E33" t="str">
        <f t="shared" si="0"/>
        <v>OLD1031</v>
      </c>
      <c r="F33" t="s">
        <v>1039</v>
      </c>
    </row>
    <row r="34" spans="1:6">
      <c r="A34">
        <f t="shared" si="2"/>
        <v>2767</v>
      </c>
      <c r="B34" t="s">
        <v>1040</v>
      </c>
      <c r="C34">
        <f t="shared" si="1"/>
        <v>1032</v>
      </c>
      <c r="D34" t="s">
        <v>880</v>
      </c>
      <c r="E34" t="str">
        <f t="shared" si="0"/>
        <v>CAT1032</v>
      </c>
      <c r="F34" t="s">
        <v>1040</v>
      </c>
    </row>
    <row r="35" spans="1:6">
      <c r="A35">
        <f t="shared" si="2"/>
        <v>2856</v>
      </c>
      <c r="B35" t="s">
        <v>1041</v>
      </c>
      <c r="C35">
        <f t="shared" si="1"/>
        <v>1033</v>
      </c>
      <c r="D35" t="s">
        <v>646</v>
      </c>
      <c r="E35" t="str">
        <f t="shared" si="0"/>
        <v>ICE1033</v>
      </c>
      <c r="F35" t="s">
        <v>1041</v>
      </c>
    </row>
    <row r="36" spans="1:6">
      <c r="A36">
        <f t="shared" si="2"/>
        <v>2945</v>
      </c>
      <c r="B36" t="s">
        <v>1042</v>
      </c>
      <c r="C36">
        <f t="shared" si="1"/>
        <v>1034</v>
      </c>
      <c r="D36" t="s">
        <v>592</v>
      </c>
      <c r="E36" t="str">
        <f t="shared" si="0"/>
        <v>FUR1034</v>
      </c>
      <c r="F36" t="s">
        <v>1042</v>
      </c>
    </row>
    <row r="37" spans="1:6">
      <c r="A37">
        <f t="shared" si="2"/>
        <v>3034</v>
      </c>
      <c r="B37" t="s">
        <v>1043</v>
      </c>
      <c r="C37">
        <f t="shared" si="1"/>
        <v>1035</v>
      </c>
      <c r="D37" t="s">
        <v>886</v>
      </c>
      <c r="E37" t="str">
        <f t="shared" si="0"/>
        <v>NET1035</v>
      </c>
      <c r="F37" t="s">
        <v>1043</v>
      </c>
    </row>
    <row r="38" spans="1:6">
      <c r="A38">
        <f t="shared" si="2"/>
        <v>3123</v>
      </c>
      <c r="B38" t="s">
        <v>1044</v>
      </c>
      <c r="C38">
        <f t="shared" si="1"/>
        <v>1036</v>
      </c>
      <c r="D38" t="s">
        <v>633</v>
      </c>
      <c r="E38" t="str">
        <f t="shared" si="0"/>
        <v>FAN1036</v>
      </c>
      <c r="F38" t="s">
        <v>1044</v>
      </c>
    </row>
    <row r="39" spans="1:6">
      <c r="A39">
        <f t="shared" si="2"/>
        <v>3212</v>
      </c>
      <c r="B39" t="s">
        <v>1045</v>
      </c>
      <c r="C39">
        <f t="shared" si="1"/>
        <v>1037</v>
      </c>
      <c r="D39" t="s">
        <v>632</v>
      </c>
      <c r="E39" t="str">
        <f t="shared" si="0"/>
        <v>SIP1037</v>
      </c>
      <c r="F39" t="s">
        <v>1045</v>
      </c>
    </row>
    <row r="40" spans="1:6">
      <c r="A40">
        <f t="shared" si="2"/>
        <v>3301</v>
      </c>
      <c r="B40" t="s">
        <v>1046</v>
      </c>
      <c r="C40">
        <f t="shared" si="1"/>
        <v>1038</v>
      </c>
      <c r="D40" t="s">
        <v>591</v>
      </c>
      <c r="E40" t="str">
        <f t="shared" si="0"/>
        <v>ERA1038</v>
      </c>
      <c r="F40" t="s">
        <v>1046</v>
      </c>
    </row>
    <row r="41" spans="1:6">
      <c r="A41">
        <f t="shared" si="2"/>
        <v>3390</v>
      </c>
      <c r="B41" t="s">
        <v>1047</v>
      </c>
      <c r="C41">
        <f t="shared" si="1"/>
        <v>1039</v>
      </c>
      <c r="D41" t="s">
        <v>996</v>
      </c>
      <c r="E41" t="str">
        <f t="shared" si="0"/>
        <v>FIX1039</v>
      </c>
      <c r="F41" t="s">
        <v>1047</v>
      </c>
    </row>
    <row r="42" spans="1:6">
      <c r="A42">
        <f t="shared" si="2"/>
        <v>3479</v>
      </c>
      <c r="B42" t="s">
        <v>1048</v>
      </c>
      <c r="C42">
        <f t="shared" si="1"/>
        <v>1040</v>
      </c>
      <c r="D42" t="s">
        <v>625</v>
      </c>
      <c r="E42" t="str">
        <f t="shared" si="0"/>
        <v>FLU1040</v>
      </c>
      <c r="F42" t="s">
        <v>1048</v>
      </c>
    </row>
    <row r="43" spans="1:6">
      <c r="A43">
        <f t="shared" si="2"/>
        <v>3568</v>
      </c>
      <c r="B43" t="s">
        <v>1049</v>
      </c>
      <c r="C43">
        <f t="shared" si="1"/>
        <v>1041</v>
      </c>
      <c r="D43" t="s">
        <v>593</v>
      </c>
      <c r="E43" t="str">
        <f t="shared" si="0"/>
        <v>SEX1041</v>
      </c>
      <c r="F43" t="s">
        <v>1049</v>
      </c>
    </row>
    <row r="44" spans="1:6">
      <c r="A44">
        <f t="shared" si="2"/>
        <v>3657</v>
      </c>
      <c r="B44" t="s">
        <v>1050</v>
      </c>
      <c r="C44">
        <f t="shared" si="1"/>
        <v>1042</v>
      </c>
      <c r="D44" t="s">
        <v>858</v>
      </c>
      <c r="E44" t="str">
        <f t="shared" si="0"/>
        <v>OIL1042</v>
      </c>
      <c r="F44" t="s">
        <v>1050</v>
      </c>
    </row>
    <row r="45" spans="1:6">
      <c r="A45">
        <f t="shared" si="2"/>
        <v>3746</v>
      </c>
      <c r="B45" t="s">
        <v>1051</v>
      </c>
      <c r="C45">
        <f t="shared" si="1"/>
        <v>1043</v>
      </c>
      <c r="D45" t="s">
        <v>585</v>
      </c>
      <c r="E45" t="str">
        <f t="shared" si="0"/>
        <v>HUT1043</v>
      </c>
      <c r="F45" t="s">
        <v>1051</v>
      </c>
    </row>
    <row r="46" spans="1:6">
      <c r="A46">
        <f t="shared" si="2"/>
        <v>3835</v>
      </c>
      <c r="B46" t="s">
        <v>1052</v>
      </c>
      <c r="C46">
        <f t="shared" si="1"/>
        <v>1044</v>
      </c>
      <c r="D46" t="s">
        <v>997</v>
      </c>
      <c r="E46" t="str">
        <f t="shared" si="0"/>
        <v>SUN1044</v>
      </c>
      <c r="F46" t="s">
        <v>1052</v>
      </c>
    </row>
    <row r="47" spans="1:6">
      <c r="A47">
        <f t="shared" si="2"/>
        <v>3924</v>
      </c>
      <c r="B47" t="s">
        <v>1053</v>
      </c>
      <c r="C47">
        <f t="shared" si="1"/>
        <v>1045</v>
      </c>
      <c r="D47" t="s">
        <v>590</v>
      </c>
      <c r="E47" t="str">
        <f t="shared" si="0"/>
        <v>KIT1045</v>
      </c>
      <c r="F47" t="s">
        <v>1053</v>
      </c>
    </row>
    <row r="48" spans="1:6">
      <c r="A48">
        <f t="shared" si="2"/>
        <v>4013</v>
      </c>
      <c r="B48" t="s">
        <v>1054</v>
      </c>
      <c r="C48">
        <f t="shared" si="1"/>
        <v>1046</v>
      </c>
      <c r="D48" t="s">
        <v>643</v>
      </c>
      <c r="E48" t="str">
        <f t="shared" si="0"/>
        <v>FOX1046</v>
      </c>
      <c r="F48" t="s">
        <v>1054</v>
      </c>
    </row>
    <row r="49" spans="1:6">
      <c r="A49">
        <f t="shared" si="2"/>
        <v>4102</v>
      </c>
      <c r="B49" t="s">
        <v>1055</v>
      </c>
      <c r="C49">
        <f t="shared" si="1"/>
        <v>1047</v>
      </c>
      <c r="D49" t="s">
        <v>588</v>
      </c>
      <c r="E49" t="str">
        <f t="shared" si="0"/>
        <v>LAW1047</v>
      </c>
      <c r="F49" t="s">
        <v>1055</v>
      </c>
    </row>
    <row r="50" spans="1:6">
      <c r="A50">
        <f t="shared" si="2"/>
        <v>4191</v>
      </c>
      <c r="B50" t="s">
        <v>1056</v>
      </c>
      <c r="C50">
        <f t="shared" si="1"/>
        <v>1048</v>
      </c>
      <c r="D50" t="s">
        <v>998</v>
      </c>
      <c r="E50" t="str">
        <f t="shared" si="0"/>
        <v>FLY1048</v>
      </c>
      <c r="F50" t="s">
        <v>1056</v>
      </c>
    </row>
    <row r="51" spans="1:6">
      <c r="A51">
        <f t="shared" si="2"/>
        <v>4280</v>
      </c>
      <c r="B51" t="s">
        <v>1057</v>
      </c>
      <c r="C51">
        <f t="shared" si="1"/>
        <v>1049</v>
      </c>
      <c r="D51" t="s">
        <v>581</v>
      </c>
      <c r="E51" t="str">
        <f t="shared" si="0"/>
        <v>PIN1049</v>
      </c>
      <c r="F51" t="s">
        <v>1057</v>
      </c>
    </row>
    <row r="52" spans="1:6">
      <c r="A52">
        <f t="shared" si="2"/>
        <v>4369</v>
      </c>
      <c r="B52" t="s">
        <v>1058</v>
      </c>
      <c r="C52">
        <f t="shared" si="1"/>
        <v>1050</v>
      </c>
      <c r="D52" t="s">
        <v>645</v>
      </c>
      <c r="E52" t="str">
        <f t="shared" si="0"/>
        <v>PIE1050</v>
      </c>
      <c r="F52" t="s">
        <v>1058</v>
      </c>
    </row>
    <row r="53" spans="1:6">
      <c r="A53">
        <f t="shared" si="2"/>
        <v>4458</v>
      </c>
      <c r="B53" t="s">
        <v>1059</v>
      </c>
      <c r="C53">
        <f t="shared" si="1"/>
        <v>1051</v>
      </c>
      <c r="D53" t="s">
        <v>642</v>
      </c>
      <c r="E53" t="str">
        <f t="shared" si="0"/>
        <v>SAY1051</v>
      </c>
      <c r="F53" t="s">
        <v>1059</v>
      </c>
    </row>
    <row r="54" spans="1:6">
      <c r="A54">
        <f t="shared" si="2"/>
        <v>4547</v>
      </c>
      <c r="B54" t="s">
        <v>1060</v>
      </c>
      <c r="C54">
        <f t="shared" si="1"/>
        <v>1052</v>
      </c>
      <c r="D54" t="s">
        <v>578</v>
      </c>
      <c r="E54" t="str">
        <f t="shared" si="0"/>
        <v>TAX1052</v>
      </c>
      <c r="F54" t="s">
        <v>1060</v>
      </c>
    </row>
    <row r="55" spans="1:6">
      <c r="A55">
        <f t="shared" si="2"/>
        <v>4636</v>
      </c>
      <c r="B55" t="s">
        <v>1061</v>
      </c>
      <c r="C55">
        <f t="shared" si="1"/>
        <v>1053</v>
      </c>
      <c r="D55" t="s">
        <v>580</v>
      </c>
      <c r="E55" t="str">
        <f t="shared" si="0"/>
        <v>PAT1053</v>
      </c>
      <c r="F55" t="s">
        <v>1061</v>
      </c>
    </row>
    <row r="56" spans="1:6">
      <c r="A56">
        <f t="shared" si="2"/>
        <v>4725</v>
      </c>
      <c r="B56" t="s">
        <v>1062</v>
      </c>
      <c r="C56">
        <f t="shared" si="1"/>
        <v>1054</v>
      </c>
      <c r="D56" t="s">
        <v>879</v>
      </c>
      <c r="E56" t="str">
        <f t="shared" si="0"/>
        <v>FUN1054</v>
      </c>
      <c r="F56" t="s">
        <v>1062</v>
      </c>
    </row>
    <row r="57" spans="1:6">
      <c r="A57">
        <f t="shared" si="2"/>
        <v>4814</v>
      </c>
      <c r="B57" t="s">
        <v>1063</v>
      </c>
      <c r="C57">
        <f t="shared" si="1"/>
        <v>1055</v>
      </c>
      <c r="D57" t="s">
        <v>600</v>
      </c>
      <c r="E57" t="str">
        <f t="shared" si="0"/>
        <v>VAT1055</v>
      </c>
      <c r="F57" t="s">
        <v>1063</v>
      </c>
    </row>
    <row r="58" spans="1:6">
      <c r="A58">
        <f t="shared" si="2"/>
        <v>4903</v>
      </c>
      <c r="B58" t="s">
        <v>1064</v>
      </c>
      <c r="C58">
        <f t="shared" si="1"/>
        <v>1056</v>
      </c>
      <c r="D58" t="s">
        <v>637</v>
      </c>
      <c r="E58" t="str">
        <f t="shared" si="0"/>
        <v>WIN1056</v>
      </c>
      <c r="F58" t="s">
        <v>1064</v>
      </c>
    </row>
    <row r="59" spans="1:6">
      <c r="A59">
        <f t="shared" si="2"/>
        <v>4992</v>
      </c>
      <c r="B59" t="s">
        <v>1065</v>
      </c>
      <c r="C59">
        <f t="shared" si="1"/>
        <v>1057</v>
      </c>
      <c r="D59" t="s">
        <v>874</v>
      </c>
      <c r="E59" t="str">
        <f t="shared" si="0"/>
        <v>OAK1057</v>
      </c>
      <c r="F59" t="s">
        <v>1065</v>
      </c>
    </row>
    <row r="60" spans="1:6">
      <c r="A60">
        <f t="shared" si="2"/>
        <v>5081</v>
      </c>
      <c r="B60" t="s">
        <v>1066</v>
      </c>
      <c r="C60">
        <f t="shared" si="1"/>
        <v>1058</v>
      </c>
      <c r="D60" t="s">
        <v>633</v>
      </c>
      <c r="E60" t="str">
        <f t="shared" si="0"/>
        <v>FAN1058</v>
      </c>
      <c r="F60" t="s">
        <v>1066</v>
      </c>
    </row>
    <row r="61" spans="1:6">
      <c r="A61">
        <f t="shared" si="2"/>
        <v>5170</v>
      </c>
      <c r="B61" t="s">
        <v>1067</v>
      </c>
      <c r="C61">
        <f t="shared" si="1"/>
        <v>1059</v>
      </c>
      <c r="D61" t="s">
        <v>615</v>
      </c>
      <c r="E61" t="str">
        <f t="shared" si="0"/>
        <v>ANT1059</v>
      </c>
      <c r="F61" t="s">
        <v>1067</v>
      </c>
    </row>
    <row r="62" spans="1:6">
      <c r="A62">
        <f t="shared" si="2"/>
        <v>5259</v>
      </c>
      <c r="B62" t="s">
        <v>1068</v>
      </c>
      <c r="C62">
        <f t="shared" si="1"/>
        <v>1060</v>
      </c>
      <c r="D62" t="s">
        <v>575</v>
      </c>
      <c r="E62" t="str">
        <f t="shared" si="0"/>
        <v>EYE1060</v>
      </c>
      <c r="F62" t="s">
        <v>1068</v>
      </c>
    </row>
    <row r="63" spans="1:6">
      <c r="A63">
        <f t="shared" si="2"/>
        <v>5348</v>
      </c>
      <c r="B63" t="s">
        <v>1069</v>
      </c>
      <c r="C63">
        <f t="shared" si="1"/>
        <v>1061</v>
      </c>
      <c r="D63" t="s">
        <v>999</v>
      </c>
      <c r="E63" t="str">
        <f t="shared" si="0"/>
        <v>FOG1061</v>
      </c>
      <c r="F63" t="s">
        <v>1069</v>
      </c>
    </row>
    <row r="64" spans="1:6">
      <c r="A64">
        <f t="shared" si="2"/>
        <v>5437</v>
      </c>
      <c r="B64" t="s">
        <v>1070</v>
      </c>
      <c r="C64">
        <f t="shared" si="1"/>
        <v>1062</v>
      </c>
      <c r="D64" t="s">
        <v>626</v>
      </c>
      <c r="E64" t="str">
        <f t="shared" si="0"/>
        <v>EAR1062</v>
      </c>
      <c r="F64" t="s">
        <v>1070</v>
      </c>
    </row>
    <row r="65" spans="1:6">
      <c r="A65">
        <f t="shared" si="2"/>
        <v>5526</v>
      </c>
      <c r="B65" t="s">
        <v>1071</v>
      </c>
      <c r="C65">
        <f t="shared" si="1"/>
        <v>1063</v>
      </c>
      <c r="D65" t="s">
        <v>644</v>
      </c>
      <c r="E65" t="str">
        <f t="shared" si="0"/>
        <v>TOP1063</v>
      </c>
      <c r="F65" t="s">
        <v>1071</v>
      </c>
    </row>
    <row r="66" spans="1:6">
      <c r="A66">
        <f t="shared" si="2"/>
        <v>5615</v>
      </c>
      <c r="B66" t="s">
        <v>1072</v>
      </c>
      <c r="C66">
        <f t="shared" si="1"/>
        <v>1064</v>
      </c>
      <c r="D66" t="s">
        <v>863</v>
      </c>
      <c r="E66" t="str">
        <f t="shared" si="0"/>
        <v>RED1064</v>
      </c>
      <c r="F66" t="s">
        <v>1072</v>
      </c>
    </row>
    <row r="67" spans="1:6">
      <c r="A67">
        <f t="shared" si="2"/>
        <v>5704</v>
      </c>
      <c r="B67" t="s">
        <v>1073</v>
      </c>
      <c r="C67">
        <f t="shared" si="1"/>
        <v>1065</v>
      </c>
      <c r="D67" t="s">
        <v>601</v>
      </c>
      <c r="E67" t="str">
        <f t="shared" ref="E67:E130" si="3">CONCATENATE(UPPER(D67),C67)</f>
        <v>DIE1065</v>
      </c>
      <c r="F67" t="s">
        <v>1073</v>
      </c>
    </row>
    <row r="68" spans="1:6">
      <c r="A68">
        <f t="shared" si="2"/>
        <v>5793</v>
      </c>
      <c r="B68" t="s">
        <v>1074</v>
      </c>
      <c r="C68">
        <f t="shared" ref="C68:C131" si="4">C67+1</f>
        <v>1066</v>
      </c>
      <c r="D68" t="s">
        <v>596</v>
      </c>
      <c r="E68" t="str">
        <f t="shared" si="3"/>
        <v>HIT1066</v>
      </c>
      <c r="F68" t="s">
        <v>1074</v>
      </c>
    </row>
    <row r="69" spans="1:6">
      <c r="A69">
        <f t="shared" ref="A69:A132" si="5">A68+89</f>
        <v>5882</v>
      </c>
      <c r="B69" t="s">
        <v>1075</v>
      </c>
      <c r="C69">
        <f t="shared" si="4"/>
        <v>1067</v>
      </c>
      <c r="D69" t="s">
        <v>865</v>
      </c>
      <c r="E69" t="str">
        <f t="shared" si="3"/>
        <v>CRY1067</v>
      </c>
      <c r="F69" t="s">
        <v>1075</v>
      </c>
    </row>
    <row r="70" spans="1:6">
      <c r="A70">
        <f t="shared" si="5"/>
        <v>5971</v>
      </c>
      <c r="B70" t="s">
        <v>1076</v>
      </c>
      <c r="C70">
        <f t="shared" si="4"/>
        <v>1068</v>
      </c>
      <c r="D70" t="s">
        <v>597</v>
      </c>
      <c r="E70" t="str">
        <f t="shared" si="3"/>
        <v>GAP1068</v>
      </c>
      <c r="F70" t="s">
        <v>1076</v>
      </c>
    </row>
    <row r="71" spans="1:6">
      <c r="A71">
        <f t="shared" si="5"/>
        <v>6060</v>
      </c>
      <c r="B71" t="s">
        <v>1077</v>
      </c>
      <c r="C71">
        <f t="shared" si="4"/>
        <v>1069</v>
      </c>
      <c r="D71" t="s">
        <v>613</v>
      </c>
      <c r="E71" t="str">
        <f t="shared" si="3"/>
        <v>DIP1069</v>
      </c>
      <c r="F71" t="s">
        <v>1077</v>
      </c>
    </row>
    <row r="72" spans="1:6">
      <c r="A72">
        <f t="shared" si="5"/>
        <v>6149</v>
      </c>
      <c r="B72" t="s">
        <v>1078</v>
      </c>
      <c r="C72">
        <f t="shared" si="4"/>
        <v>1070</v>
      </c>
      <c r="D72" t="s">
        <v>579</v>
      </c>
      <c r="E72" t="str">
        <f t="shared" si="3"/>
        <v>LEG1070</v>
      </c>
      <c r="F72" t="s">
        <v>1078</v>
      </c>
    </row>
    <row r="73" spans="1:6">
      <c r="A73">
        <f t="shared" si="5"/>
        <v>6238</v>
      </c>
      <c r="B73" t="s">
        <v>1079</v>
      </c>
      <c r="C73">
        <f t="shared" si="4"/>
        <v>1071</v>
      </c>
      <c r="D73" t="s">
        <v>631</v>
      </c>
      <c r="E73" t="str">
        <f t="shared" si="3"/>
        <v>PUT1071</v>
      </c>
      <c r="F73" t="s">
        <v>1079</v>
      </c>
    </row>
    <row r="74" spans="1:6">
      <c r="A74">
        <f t="shared" si="5"/>
        <v>6327</v>
      </c>
      <c r="B74" t="s">
        <v>1080</v>
      </c>
      <c r="C74">
        <f t="shared" si="4"/>
        <v>1072</v>
      </c>
      <c r="D74" t="s">
        <v>870</v>
      </c>
      <c r="E74" t="str">
        <f t="shared" si="3"/>
        <v>NUT1072</v>
      </c>
      <c r="F74" t="s">
        <v>1080</v>
      </c>
    </row>
    <row r="75" spans="1:6">
      <c r="A75">
        <f t="shared" si="5"/>
        <v>6416</v>
      </c>
      <c r="B75" t="s">
        <v>1081</v>
      </c>
      <c r="C75">
        <f t="shared" si="4"/>
        <v>1073</v>
      </c>
      <c r="D75" t="s">
        <v>621</v>
      </c>
      <c r="E75" t="str">
        <f t="shared" si="3"/>
        <v>PAY1073</v>
      </c>
      <c r="F75" t="s">
        <v>1081</v>
      </c>
    </row>
    <row r="76" spans="1:6">
      <c r="A76">
        <f t="shared" si="5"/>
        <v>6505</v>
      </c>
      <c r="B76" t="s">
        <v>1082</v>
      </c>
      <c r="C76">
        <f t="shared" si="4"/>
        <v>1074</v>
      </c>
      <c r="D76" t="s">
        <v>860</v>
      </c>
      <c r="E76" t="str">
        <f t="shared" si="3"/>
        <v>ROW1074</v>
      </c>
      <c r="F76" t="s">
        <v>1082</v>
      </c>
    </row>
    <row r="77" spans="1:6">
      <c r="A77">
        <f t="shared" si="5"/>
        <v>6594</v>
      </c>
      <c r="B77" t="s">
        <v>1083</v>
      </c>
      <c r="C77">
        <f t="shared" si="4"/>
        <v>1075</v>
      </c>
      <c r="D77" t="s">
        <v>638</v>
      </c>
      <c r="E77" t="str">
        <f t="shared" si="3"/>
        <v>OWE1075</v>
      </c>
      <c r="F77" t="s">
        <v>1083</v>
      </c>
    </row>
    <row r="78" spans="1:6">
      <c r="A78">
        <f t="shared" si="5"/>
        <v>6683</v>
      </c>
      <c r="B78" t="s">
        <v>1084</v>
      </c>
      <c r="C78">
        <f t="shared" si="4"/>
        <v>1076</v>
      </c>
      <c r="D78" t="s">
        <v>850</v>
      </c>
      <c r="E78" t="str">
        <f t="shared" si="3"/>
        <v>BET1076</v>
      </c>
      <c r="F78" t="s">
        <v>1084</v>
      </c>
    </row>
    <row r="79" spans="1:6">
      <c r="A79">
        <f t="shared" si="5"/>
        <v>6772</v>
      </c>
      <c r="B79" t="s">
        <v>1085</v>
      </c>
      <c r="C79">
        <f t="shared" si="4"/>
        <v>1077</v>
      </c>
      <c r="D79" t="s">
        <v>581</v>
      </c>
      <c r="E79" t="str">
        <f t="shared" si="3"/>
        <v>PIN1077</v>
      </c>
      <c r="F79" t="s">
        <v>1085</v>
      </c>
    </row>
    <row r="80" spans="1:6">
      <c r="A80">
        <f t="shared" si="5"/>
        <v>6861</v>
      </c>
      <c r="B80" t="s">
        <v>1086</v>
      </c>
      <c r="C80">
        <f t="shared" si="4"/>
        <v>1078</v>
      </c>
      <c r="D80" t="s">
        <v>591</v>
      </c>
      <c r="E80" t="str">
        <f t="shared" si="3"/>
        <v>ERA1078</v>
      </c>
      <c r="F80" t="s">
        <v>1086</v>
      </c>
    </row>
    <row r="81" spans="1:6">
      <c r="A81">
        <f t="shared" si="5"/>
        <v>6950</v>
      </c>
      <c r="B81" t="s">
        <v>1087</v>
      </c>
      <c r="C81">
        <f t="shared" si="4"/>
        <v>1079</v>
      </c>
      <c r="D81" t="s">
        <v>614</v>
      </c>
      <c r="E81" t="str">
        <f t="shared" si="3"/>
        <v>EAT1079</v>
      </c>
      <c r="F81" t="s">
        <v>1087</v>
      </c>
    </row>
    <row r="82" spans="1:6">
      <c r="A82">
        <f t="shared" si="5"/>
        <v>7039</v>
      </c>
      <c r="B82" t="s">
        <v>1088</v>
      </c>
      <c r="C82">
        <f t="shared" si="4"/>
        <v>1080</v>
      </c>
      <c r="D82" t="s">
        <v>1000</v>
      </c>
      <c r="E82" t="str">
        <f t="shared" si="3"/>
        <v>LIP1080</v>
      </c>
      <c r="F82" t="s">
        <v>1088</v>
      </c>
    </row>
    <row r="83" spans="1:6">
      <c r="A83">
        <f t="shared" si="5"/>
        <v>7128</v>
      </c>
      <c r="B83" t="s">
        <v>1089</v>
      </c>
      <c r="C83">
        <f t="shared" si="4"/>
        <v>1081</v>
      </c>
      <c r="D83" t="s">
        <v>576</v>
      </c>
      <c r="E83" t="str">
        <f t="shared" si="3"/>
        <v>FAX1081</v>
      </c>
      <c r="F83" t="s">
        <v>1089</v>
      </c>
    </row>
    <row r="84" spans="1:6">
      <c r="A84">
        <f t="shared" si="5"/>
        <v>7217</v>
      </c>
      <c r="B84" t="s">
        <v>1090</v>
      </c>
      <c r="C84">
        <f t="shared" si="4"/>
        <v>1082</v>
      </c>
      <c r="D84" t="s">
        <v>990</v>
      </c>
      <c r="E84" t="str">
        <f t="shared" si="3"/>
        <v>MUD1082</v>
      </c>
      <c r="F84" t="s">
        <v>1090</v>
      </c>
    </row>
    <row r="85" spans="1:6">
      <c r="A85">
        <f t="shared" si="5"/>
        <v>7306</v>
      </c>
      <c r="B85" t="s">
        <v>1091</v>
      </c>
      <c r="C85">
        <f t="shared" si="4"/>
        <v>1083</v>
      </c>
      <c r="D85" t="s">
        <v>1001</v>
      </c>
      <c r="E85" t="str">
        <f t="shared" si="3"/>
        <v>RUN1083</v>
      </c>
      <c r="F85" t="s">
        <v>1091</v>
      </c>
    </row>
    <row r="86" spans="1:6">
      <c r="A86">
        <f t="shared" si="5"/>
        <v>7395</v>
      </c>
      <c r="B86" t="s">
        <v>1092</v>
      </c>
      <c r="C86">
        <f t="shared" si="4"/>
        <v>1084</v>
      </c>
      <c r="D86" t="s">
        <v>618</v>
      </c>
      <c r="E86" t="str">
        <f t="shared" si="3"/>
        <v>GUN1084</v>
      </c>
      <c r="F86" t="s">
        <v>1092</v>
      </c>
    </row>
    <row r="87" spans="1:6">
      <c r="A87">
        <f t="shared" si="5"/>
        <v>7484</v>
      </c>
      <c r="B87" t="s">
        <v>1093</v>
      </c>
      <c r="C87">
        <f t="shared" si="4"/>
        <v>1085</v>
      </c>
      <c r="D87" t="s">
        <v>869</v>
      </c>
      <c r="E87" t="str">
        <f t="shared" si="3"/>
        <v>EGO1085</v>
      </c>
      <c r="F87" t="s">
        <v>1093</v>
      </c>
    </row>
    <row r="88" spans="1:6">
      <c r="A88">
        <f t="shared" si="5"/>
        <v>7573</v>
      </c>
      <c r="B88" t="s">
        <v>1094</v>
      </c>
      <c r="C88">
        <f t="shared" si="4"/>
        <v>1086</v>
      </c>
      <c r="D88" t="s">
        <v>598</v>
      </c>
      <c r="E88" t="str">
        <f t="shared" si="3"/>
        <v>ART1086</v>
      </c>
      <c r="F88" t="s">
        <v>1094</v>
      </c>
    </row>
    <row r="89" spans="1:6">
      <c r="A89">
        <f t="shared" si="5"/>
        <v>7662</v>
      </c>
      <c r="B89" t="s">
        <v>1095</v>
      </c>
      <c r="C89">
        <f t="shared" si="4"/>
        <v>1087</v>
      </c>
      <c r="D89" t="s">
        <v>612</v>
      </c>
      <c r="E89" t="str">
        <f t="shared" si="3"/>
        <v>AGE1087</v>
      </c>
      <c r="F89" t="s">
        <v>1095</v>
      </c>
    </row>
    <row r="90" spans="1:6">
      <c r="A90">
        <f t="shared" si="5"/>
        <v>7751</v>
      </c>
      <c r="B90" t="s">
        <v>1096</v>
      </c>
      <c r="C90">
        <f t="shared" si="4"/>
        <v>1088</v>
      </c>
      <c r="D90" t="s">
        <v>859</v>
      </c>
      <c r="E90" t="str">
        <f t="shared" si="3"/>
        <v>BEE1088</v>
      </c>
      <c r="F90" t="s">
        <v>1096</v>
      </c>
    </row>
    <row r="91" spans="1:6">
      <c r="A91">
        <f t="shared" si="5"/>
        <v>7840</v>
      </c>
      <c r="B91" t="s">
        <v>1097</v>
      </c>
      <c r="C91">
        <f t="shared" si="4"/>
        <v>1089</v>
      </c>
      <c r="D91" t="s">
        <v>603</v>
      </c>
      <c r="E91" t="str">
        <f t="shared" si="3"/>
        <v>SHY1089</v>
      </c>
      <c r="F91" t="s">
        <v>1097</v>
      </c>
    </row>
    <row r="92" spans="1:6">
      <c r="A92">
        <f t="shared" si="5"/>
        <v>7929</v>
      </c>
      <c r="B92" t="s">
        <v>1098</v>
      </c>
      <c r="C92">
        <f t="shared" si="4"/>
        <v>1090</v>
      </c>
      <c r="D92" t="s">
        <v>574</v>
      </c>
      <c r="E92" t="str">
        <f t="shared" si="3"/>
        <v>AIR1090</v>
      </c>
      <c r="F92" t="s">
        <v>1098</v>
      </c>
    </row>
    <row r="93" spans="1:6">
      <c r="A93">
        <f t="shared" si="5"/>
        <v>8018</v>
      </c>
      <c r="B93" t="s">
        <v>1099</v>
      </c>
      <c r="C93">
        <f t="shared" si="4"/>
        <v>1091</v>
      </c>
      <c r="D93" t="s">
        <v>582</v>
      </c>
      <c r="E93" t="str">
        <f t="shared" si="3"/>
        <v>SEA1091</v>
      </c>
      <c r="F93" t="s">
        <v>1099</v>
      </c>
    </row>
    <row r="94" spans="1:6">
      <c r="A94">
        <f t="shared" si="5"/>
        <v>8107</v>
      </c>
      <c r="B94" t="s">
        <v>1100</v>
      </c>
      <c r="C94">
        <f t="shared" si="4"/>
        <v>1092</v>
      </c>
      <c r="D94" t="s">
        <v>861</v>
      </c>
      <c r="E94" t="str">
        <f t="shared" si="3"/>
        <v>BUY1092</v>
      </c>
      <c r="F94" t="s">
        <v>1100</v>
      </c>
    </row>
    <row r="95" spans="1:6">
      <c r="A95">
        <f t="shared" si="5"/>
        <v>8196</v>
      </c>
      <c r="B95" t="s">
        <v>1101</v>
      </c>
      <c r="C95">
        <f t="shared" si="4"/>
        <v>1093</v>
      </c>
      <c r="D95" t="s">
        <v>1002</v>
      </c>
      <c r="E95" t="str">
        <f t="shared" si="3"/>
        <v>TIE1093</v>
      </c>
      <c r="F95" t="s">
        <v>1101</v>
      </c>
    </row>
    <row r="96" spans="1:6">
      <c r="A96">
        <f t="shared" si="5"/>
        <v>8285</v>
      </c>
      <c r="B96" t="s">
        <v>1102</v>
      </c>
      <c r="C96">
        <f t="shared" si="4"/>
        <v>1094</v>
      </c>
      <c r="D96" t="s">
        <v>862</v>
      </c>
      <c r="E96" t="str">
        <f t="shared" si="3"/>
        <v>BAR1094</v>
      </c>
      <c r="F96" t="s">
        <v>1102</v>
      </c>
    </row>
    <row r="97" spans="1:6">
      <c r="A97">
        <f t="shared" si="5"/>
        <v>8374</v>
      </c>
      <c r="B97" t="s">
        <v>1103</v>
      </c>
      <c r="C97">
        <f t="shared" si="4"/>
        <v>1095</v>
      </c>
      <c r="D97" t="s">
        <v>886</v>
      </c>
      <c r="E97" t="str">
        <f t="shared" si="3"/>
        <v>NET1095</v>
      </c>
      <c r="F97" t="s">
        <v>1103</v>
      </c>
    </row>
    <row r="98" spans="1:6">
      <c r="A98">
        <f t="shared" si="5"/>
        <v>8463</v>
      </c>
      <c r="B98" t="s">
        <v>1104</v>
      </c>
      <c r="C98">
        <f t="shared" si="4"/>
        <v>1096</v>
      </c>
      <c r="D98" t="s">
        <v>1003</v>
      </c>
      <c r="E98" t="str">
        <f t="shared" si="3"/>
        <v>SIN1096</v>
      </c>
      <c r="F98" t="s">
        <v>1104</v>
      </c>
    </row>
    <row r="99" spans="1:6">
      <c r="A99">
        <f t="shared" si="5"/>
        <v>8552</v>
      </c>
      <c r="B99" t="s">
        <v>1105</v>
      </c>
      <c r="C99">
        <f t="shared" si="4"/>
        <v>1097</v>
      </c>
      <c r="D99" t="s">
        <v>1004</v>
      </c>
      <c r="E99" t="str">
        <f t="shared" si="3"/>
        <v>BAD1097</v>
      </c>
      <c r="F99" t="s">
        <v>1105</v>
      </c>
    </row>
    <row r="100" spans="1:6">
      <c r="A100">
        <f t="shared" si="5"/>
        <v>8641</v>
      </c>
      <c r="B100" t="s">
        <v>1106</v>
      </c>
      <c r="C100">
        <f t="shared" si="4"/>
        <v>1098</v>
      </c>
      <c r="D100" t="s">
        <v>608</v>
      </c>
      <c r="E100" t="str">
        <f t="shared" si="3"/>
        <v>LID1098</v>
      </c>
      <c r="F100" t="s">
        <v>1106</v>
      </c>
    </row>
    <row r="101" spans="1:6">
      <c r="A101">
        <f t="shared" si="5"/>
        <v>8730</v>
      </c>
      <c r="B101" t="s">
        <v>1107</v>
      </c>
      <c r="C101">
        <f t="shared" si="4"/>
        <v>1099</v>
      </c>
      <c r="D101" t="s">
        <v>629</v>
      </c>
      <c r="E101" t="str">
        <f t="shared" si="3"/>
        <v>TIN1099</v>
      </c>
      <c r="F101" t="s">
        <v>1107</v>
      </c>
    </row>
    <row r="102" spans="1:6">
      <c r="A102">
        <f t="shared" si="5"/>
        <v>8819</v>
      </c>
      <c r="B102" t="s">
        <v>1108</v>
      </c>
      <c r="C102">
        <f t="shared" si="4"/>
        <v>1100</v>
      </c>
      <c r="D102" t="s">
        <v>645</v>
      </c>
      <c r="E102" t="str">
        <f t="shared" si="3"/>
        <v>PIE1100</v>
      </c>
      <c r="F102" t="s">
        <v>1108</v>
      </c>
    </row>
    <row r="103" spans="1:6">
      <c r="A103">
        <f t="shared" si="5"/>
        <v>8908</v>
      </c>
      <c r="B103" t="s">
        <v>1109</v>
      </c>
      <c r="C103">
        <f t="shared" si="4"/>
        <v>1101</v>
      </c>
      <c r="D103" t="s">
        <v>642</v>
      </c>
      <c r="E103" t="str">
        <f t="shared" si="3"/>
        <v>SAY1101</v>
      </c>
      <c r="F103" t="s">
        <v>1109</v>
      </c>
    </row>
    <row r="104" spans="1:6">
      <c r="A104">
        <f t="shared" si="5"/>
        <v>8997</v>
      </c>
      <c r="B104" t="s">
        <v>1110</v>
      </c>
      <c r="C104">
        <f t="shared" si="4"/>
        <v>1102</v>
      </c>
      <c r="D104" t="s">
        <v>578</v>
      </c>
      <c r="E104" t="str">
        <f t="shared" si="3"/>
        <v>TAX1102</v>
      </c>
      <c r="F104" t="s">
        <v>1110</v>
      </c>
    </row>
    <row r="105" spans="1:6">
      <c r="A105">
        <f t="shared" si="5"/>
        <v>9086</v>
      </c>
      <c r="B105" t="s">
        <v>1111</v>
      </c>
      <c r="C105">
        <f t="shared" si="4"/>
        <v>1103</v>
      </c>
      <c r="D105" t="s">
        <v>580</v>
      </c>
      <c r="E105" t="str">
        <f t="shared" si="3"/>
        <v>PAT1103</v>
      </c>
      <c r="F105" t="s">
        <v>1111</v>
      </c>
    </row>
    <row r="106" spans="1:6">
      <c r="A106">
        <f t="shared" si="5"/>
        <v>9175</v>
      </c>
      <c r="B106" t="s">
        <v>1112</v>
      </c>
      <c r="C106">
        <f t="shared" si="4"/>
        <v>1104</v>
      </c>
      <c r="D106" t="s">
        <v>879</v>
      </c>
      <c r="E106" t="str">
        <f t="shared" si="3"/>
        <v>FUN1104</v>
      </c>
      <c r="F106" t="s">
        <v>1112</v>
      </c>
    </row>
    <row r="107" spans="1:6">
      <c r="A107">
        <f t="shared" si="5"/>
        <v>9264</v>
      </c>
      <c r="B107" t="s">
        <v>1113</v>
      </c>
      <c r="C107">
        <f t="shared" si="4"/>
        <v>1105</v>
      </c>
      <c r="D107" t="s">
        <v>600</v>
      </c>
      <c r="E107" t="str">
        <f t="shared" si="3"/>
        <v>VAT1105</v>
      </c>
      <c r="F107" t="s">
        <v>1113</v>
      </c>
    </row>
    <row r="108" spans="1:6">
      <c r="A108">
        <f t="shared" si="5"/>
        <v>9353</v>
      </c>
      <c r="B108" t="s">
        <v>1114</v>
      </c>
      <c r="C108">
        <f t="shared" si="4"/>
        <v>1106</v>
      </c>
      <c r="D108" t="s">
        <v>637</v>
      </c>
      <c r="E108" t="str">
        <f t="shared" si="3"/>
        <v>WIN1106</v>
      </c>
      <c r="F108" t="s">
        <v>1114</v>
      </c>
    </row>
    <row r="109" spans="1:6">
      <c r="A109">
        <f t="shared" si="5"/>
        <v>9442</v>
      </c>
      <c r="B109" t="s">
        <v>1115</v>
      </c>
      <c r="C109">
        <f t="shared" si="4"/>
        <v>1107</v>
      </c>
      <c r="D109" t="s">
        <v>874</v>
      </c>
      <c r="E109" t="str">
        <f t="shared" si="3"/>
        <v>OAK1107</v>
      </c>
      <c r="F109" t="s">
        <v>1115</v>
      </c>
    </row>
    <row r="110" spans="1:6">
      <c r="A110">
        <f t="shared" si="5"/>
        <v>9531</v>
      </c>
      <c r="B110" t="s">
        <v>1116</v>
      </c>
      <c r="C110">
        <f t="shared" si="4"/>
        <v>1108</v>
      </c>
      <c r="D110" t="s">
        <v>633</v>
      </c>
      <c r="E110" t="str">
        <f t="shared" si="3"/>
        <v>FAN1108</v>
      </c>
      <c r="F110" t="s">
        <v>1116</v>
      </c>
    </row>
    <row r="111" spans="1:6">
      <c r="A111">
        <f t="shared" si="5"/>
        <v>9620</v>
      </c>
      <c r="B111" t="s">
        <v>1117</v>
      </c>
      <c r="C111">
        <f t="shared" si="4"/>
        <v>1109</v>
      </c>
      <c r="D111" t="s">
        <v>615</v>
      </c>
      <c r="E111" t="str">
        <f t="shared" si="3"/>
        <v>ANT1109</v>
      </c>
      <c r="F111" t="s">
        <v>1117</v>
      </c>
    </row>
    <row r="112" spans="1:6">
      <c r="A112">
        <f t="shared" si="5"/>
        <v>9709</v>
      </c>
      <c r="B112" t="s">
        <v>1118</v>
      </c>
      <c r="C112">
        <f t="shared" si="4"/>
        <v>1110</v>
      </c>
      <c r="D112" t="s">
        <v>575</v>
      </c>
      <c r="E112" t="str">
        <f t="shared" si="3"/>
        <v>EYE1110</v>
      </c>
      <c r="F112" t="s">
        <v>1118</v>
      </c>
    </row>
    <row r="113" spans="1:6">
      <c r="A113">
        <f t="shared" si="5"/>
        <v>9798</v>
      </c>
      <c r="B113" t="s">
        <v>1119</v>
      </c>
      <c r="C113">
        <f t="shared" si="4"/>
        <v>1111</v>
      </c>
      <c r="D113" t="s">
        <v>999</v>
      </c>
      <c r="E113" t="str">
        <f t="shared" si="3"/>
        <v>FOG1111</v>
      </c>
      <c r="F113" t="s">
        <v>1119</v>
      </c>
    </row>
    <row r="114" spans="1:6">
      <c r="A114">
        <f t="shared" si="5"/>
        <v>9887</v>
      </c>
      <c r="B114" t="s">
        <v>1120</v>
      </c>
      <c r="C114">
        <f t="shared" si="4"/>
        <v>1112</v>
      </c>
      <c r="D114" t="s">
        <v>626</v>
      </c>
      <c r="E114" t="str">
        <f t="shared" si="3"/>
        <v>EAR1112</v>
      </c>
      <c r="F114" t="s">
        <v>1120</v>
      </c>
    </row>
    <row r="115" spans="1:6">
      <c r="A115">
        <f t="shared" si="5"/>
        <v>9976</v>
      </c>
      <c r="B115" t="s">
        <v>1121</v>
      </c>
      <c r="C115">
        <f t="shared" si="4"/>
        <v>1113</v>
      </c>
      <c r="D115" t="s">
        <v>644</v>
      </c>
      <c r="E115" t="str">
        <f t="shared" si="3"/>
        <v>TOP1113</v>
      </c>
      <c r="F115" t="s">
        <v>1121</v>
      </c>
    </row>
    <row r="116" spans="1:6">
      <c r="A116">
        <f t="shared" si="5"/>
        <v>10065</v>
      </c>
      <c r="B116" t="s">
        <v>1122</v>
      </c>
      <c r="C116">
        <f t="shared" si="4"/>
        <v>1114</v>
      </c>
      <c r="D116" t="s">
        <v>863</v>
      </c>
      <c r="E116" t="str">
        <f t="shared" si="3"/>
        <v>RED1114</v>
      </c>
      <c r="F116" t="s">
        <v>1122</v>
      </c>
    </row>
    <row r="117" spans="1:6">
      <c r="A117">
        <f t="shared" si="5"/>
        <v>10154</v>
      </c>
      <c r="B117" t="s">
        <v>1123</v>
      </c>
      <c r="C117">
        <f t="shared" si="4"/>
        <v>1115</v>
      </c>
      <c r="D117" t="s">
        <v>601</v>
      </c>
      <c r="E117" t="str">
        <f t="shared" si="3"/>
        <v>DIE1115</v>
      </c>
      <c r="F117" t="s">
        <v>1123</v>
      </c>
    </row>
    <row r="118" spans="1:6">
      <c r="A118">
        <f t="shared" si="5"/>
        <v>10243</v>
      </c>
      <c r="B118" t="s">
        <v>1124</v>
      </c>
      <c r="C118">
        <f t="shared" si="4"/>
        <v>1116</v>
      </c>
      <c r="D118" t="s">
        <v>596</v>
      </c>
      <c r="E118" t="str">
        <f t="shared" si="3"/>
        <v>HIT1116</v>
      </c>
      <c r="F118" t="s">
        <v>1124</v>
      </c>
    </row>
    <row r="119" spans="1:6">
      <c r="A119">
        <f t="shared" si="5"/>
        <v>10332</v>
      </c>
      <c r="B119" t="s">
        <v>1125</v>
      </c>
      <c r="C119">
        <f t="shared" si="4"/>
        <v>1117</v>
      </c>
      <c r="D119" t="s">
        <v>865</v>
      </c>
      <c r="E119" t="str">
        <f t="shared" si="3"/>
        <v>CRY1117</v>
      </c>
      <c r="F119" t="s">
        <v>1125</v>
      </c>
    </row>
    <row r="120" spans="1:6">
      <c r="A120">
        <f t="shared" si="5"/>
        <v>10421</v>
      </c>
      <c r="B120" t="s">
        <v>1126</v>
      </c>
      <c r="C120">
        <f t="shared" si="4"/>
        <v>1118</v>
      </c>
      <c r="D120" t="s">
        <v>597</v>
      </c>
      <c r="E120" t="str">
        <f t="shared" si="3"/>
        <v>GAP1118</v>
      </c>
      <c r="F120" t="s">
        <v>1126</v>
      </c>
    </row>
    <row r="121" spans="1:6">
      <c r="A121">
        <f t="shared" si="5"/>
        <v>10510</v>
      </c>
      <c r="B121" t="s">
        <v>1127</v>
      </c>
      <c r="C121">
        <f t="shared" si="4"/>
        <v>1119</v>
      </c>
      <c r="D121" t="s">
        <v>613</v>
      </c>
      <c r="E121" t="str">
        <f t="shared" si="3"/>
        <v>DIP1119</v>
      </c>
      <c r="F121" t="s">
        <v>1127</v>
      </c>
    </row>
    <row r="122" spans="1:6">
      <c r="A122">
        <f t="shared" si="5"/>
        <v>10599</v>
      </c>
      <c r="B122" t="s">
        <v>1128</v>
      </c>
      <c r="C122">
        <f t="shared" si="4"/>
        <v>1120</v>
      </c>
      <c r="D122" t="s">
        <v>579</v>
      </c>
      <c r="E122" t="str">
        <f t="shared" si="3"/>
        <v>LEG1120</v>
      </c>
      <c r="F122" t="s">
        <v>1128</v>
      </c>
    </row>
    <row r="123" spans="1:6">
      <c r="A123">
        <f t="shared" si="5"/>
        <v>10688</v>
      </c>
      <c r="B123" t="s">
        <v>1129</v>
      </c>
      <c r="C123">
        <f t="shared" si="4"/>
        <v>1121</v>
      </c>
      <c r="D123" t="s">
        <v>631</v>
      </c>
      <c r="E123" t="str">
        <f t="shared" si="3"/>
        <v>PUT1121</v>
      </c>
      <c r="F123" t="s">
        <v>1129</v>
      </c>
    </row>
    <row r="124" spans="1:6">
      <c r="A124">
        <f t="shared" si="5"/>
        <v>10777</v>
      </c>
      <c r="B124" t="s">
        <v>1130</v>
      </c>
      <c r="C124">
        <f t="shared" si="4"/>
        <v>1122</v>
      </c>
      <c r="D124" t="s">
        <v>870</v>
      </c>
      <c r="E124" t="str">
        <f t="shared" si="3"/>
        <v>NUT1122</v>
      </c>
      <c r="F124" t="s">
        <v>1130</v>
      </c>
    </row>
    <row r="125" spans="1:6">
      <c r="A125">
        <f t="shared" si="5"/>
        <v>10866</v>
      </c>
      <c r="B125" t="s">
        <v>1131</v>
      </c>
      <c r="C125">
        <f t="shared" si="4"/>
        <v>1123</v>
      </c>
      <c r="D125" t="s">
        <v>621</v>
      </c>
      <c r="E125" t="str">
        <f t="shared" si="3"/>
        <v>PAY1123</v>
      </c>
      <c r="F125" t="s">
        <v>1131</v>
      </c>
    </row>
    <row r="126" spans="1:6">
      <c r="A126">
        <f t="shared" si="5"/>
        <v>10955</v>
      </c>
      <c r="B126" t="s">
        <v>1132</v>
      </c>
      <c r="C126">
        <f t="shared" si="4"/>
        <v>1124</v>
      </c>
      <c r="D126" t="s">
        <v>860</v>
      </c>
      <c r="E126" t="str">
        <f t="shared" si="3"/>
        <v>ROW1124</v>
      </c>
      <c r="F126" t="s">
        <v>1132</v>
      </c>
    </row>
    <row r="127" spans="1:6">
      <c r="A127">
        <f t="shared" si="5"/>
        <v>11044</v>
      </c>
      <c r="B127" t="s">
        <v>1133</v>
      </c>
      <c r="C127">
        <f t="shared" si="4"/>
        <v>1125</v>
      </c>
      <c r="D127" t="s">
        <v>638</v>
      </c>
      <c r="E127" t="str">
        <f t="shared" si="3"/>
        <v>OWE1125</v>
      </c>
      <c r="F127" t="s">
        <v>1133</v>
      </c>
    </row>
    <row r="128" spans="1:6">
      <c r="A128">
        <f t="shared" si="5"/>
        <v>11133</v>
      </c>
      <c r="B128" t="s">
        <v>1134</v>
      </c>
      <c r="C128">
        <f t="shared" si="4"/>
        <v>1126</v>
      </c>
      <c r="D128" t="s">
        <v>850</v>
      </c>
      <c r="E128" t="str">
        <f t="shared" si="3"/>
        <v>BET1126</v>
      </c>
      <c r="F128" t="s">
        <v>1134</v>
      </c>
    </row>
    <row r="129" spans="1:6">
      <c r="A129">
        <f t="shared" si="5"/>
        <v>11222</v>
      </c>
      <c r="B129" t="s">
        <v>1135</v>
      </c>
      <c r="C129">
        <f t="shared" si="4"/>
        <v>1127</v>
      </c>
      <c r="D129" t="s">
        <v>581</v>
      </c>
      <c r="E129" t="str">
        <f t="shared" si="3"/>
        <v>PIN1127</v>
      </c>
      <c r="F129" t="s">
        <v>1135</v>
      </c>
    </row>
    <row r="130" spans="1:6">
      <c r="A130">
        <f t="shared" si="5"/>
        <v>11311</v>
      </c>
      <c r="B130" t="s">
        <v>1136</v>
      </c>
      <c r="C130">
        <f t="shared" si="4"/>
        <v>1128</v>
      </c>
      <c r="D130" t="s">
        <v>591</v>
      </c>
      <c r="E130" t="str">
        <f t="shared" si="3"/>
        <v>ERA1128</v>
      </c>
      <c r="F130" t="s">
        <v>1136</v>
      </c>
    </row>
    <row r="131" spans="1:6">
      <c r="A131">
        <f t="shared" si="5"/>
        <v>11400</v>
      </c>
      <c r="B131" t="s">
        <v>1137</v>
      </c>
      <c r="C131">
        <f t="shared" si="4"/>
        <v>1129</v>
      </c>
      <c r="D131" t="s">
        <v>614</v>
      </c>
      <c r="E131" t="str">
        <f t="shared" ref="E131:E194" si="6">CONCATENATE(UPPER(D131),C131)</f>
        <v>EAT1129</v>
      </c>
      <c r="F131" t="s">
        <v>1137</v>
      </c>
    </row>
    <row r="132" spans="1:6">
      <c r="A132">
        <f t="shared" si="5"/>
        <v>11489</v>
      </c>
      <c r="B132" t="s">
        <v>1138</v>
      </c>
      <c r="C132">
        <f t="shared" ref="C132:C195" si="7">C131+1</f>
        <v>1130</v>
      </c>
      <c r="D132" t="s">
        <v>1000</v>
      </c>
      <c r="E132" t="str">
        <f t="shared" si="6"/>
        <v>LIP1130</v>
      </c>
      <c r="F132" t="s">
        <v>1138</v>
      </c>
    </row>
    <row r="133" spans="1:6">
      <c r="A133">
        <f t="shared" ref="A133:A196" si="8">A132+89</f>
        <v>11578</v>
      </c>
      <c r="B133" t="s">
        <v>1139</v>
      </c>
      <c r="C133">
        <f t="shared" si="7"/>
        <v>1131</v>
      </c>
      <c r="D133" t="s">
        <v>576</v>
      </c>
      <c r="E133" t="str">
        <f t="shared" si="6"/>
        <v>FAX1131</v>
      </c>
      <c r="F133" t="s">
        <v>1139</v>
      </c>
    </row>
    <row r="134" spans="1:6">
      <c r="A134">
        <f t="shared" si="8"/>
        <v>11667</v>
      </c>
      <c r="B134" t="s">
        <v>1140</v>
      </c>
      <c r="C134">
        <f t="shared" si="7"/>
        <v>1132</v>
      </c>
      <c r="D134" t="s">
        <v>990</v>
      </c>
      <c r="E134" t="str">
        <f t="shared" si="6"/>
        <v>MUD1132</v>
      </c>
      <c r="F134" t="s">
        <v>1140</v>
      </c>
    </row>
    <row r="135" spans="1:6">
      <c r="A135">
        <f t="shared" si="8"/>
        <v>11756</v>
      </c>
      <c r="B135" t="s">
        <v>1141</v>
      </c>
      <c r="C135">
        <f t="shared" si="7"/>
        <v>1133</v>
      </c>
      <c r="D135" t="s">
        <v>1001</v>
      </c>
      <c r="E135" t="str">
        <f t="shared" si="6"/>
        <v>RUN1133</v>
      </c>
      <c r="F135" t="s">
        <v>1141</v>
      </c>
    </row>
    <row r="136" spans="1:6">
      <c r="A136">
        <f t="shared" si="8"/>
        <v>11845</v>
      </c>
      <c r="B136" t="s">
        <v>1142</v>
      </c>
      <c r="C136">
        <f t="shared" si="7"/>
        <v>1134</v>
      </c>
      <c r="D136" t="s">
        <v>618</v>
      </c>
      <c r="E136" t="str">
        <f t="shared" si="6"/>
        <v>GUN1134</v>
      </c>
      <c r="F136" t="s">
        <v>1142</v>
      </c>
    </row>
    <row r="137" spans="1:6">
      <c r="A137">
        <f t="shared" si="8"/>
        <v>11934</v>
      </c>
      <c r="B137" t="s">
        <v>1143</v>
      </c>
      <c r="C137">
        <f t="shared" si="7"/>
        <v>1135</v>
      </c>
      <c r="D137" t="s">
        <v>869</v>
      </c>
      <c r="E137" t="str">
        <f t="shared" si="6"/>
        <v>EGO1135</v>
      </c>
      <c r="F137" t="s">
        <v>1143</v>
      </c>
    </row>
    <row r="138" spans="1:6">
      <c r="A138">
        <f t="shared" si="8"/>
        <v>12023</v>
      </c>
      <c r="B138" t="s">
        <v>1144</v>
      </c>
      <c r="C138">
        <f t="shared" si="7"/>
        <v>1136</v>
      </c>
      <c r="D138" t="s">
        <v>598</v>
      </c>
      <c r="E138" t="str">
        <f t="shared" si="6"/>
        <v>ART1136</v>
      </c>
      <c r="F138" t="s">
        <v>1144</v>
      </c>
    </row>
    <row r="139" spans="1:6">
      <c r="A139">
        <f t="shared" si="8"/>
        <v>12112</v>
      </c>
      <c r="B139" t="s">
        <v>1145</v>
      </c>
      <c r="C139">
        <f t="shared" si="7"/>
        <v>1137</v>
      </c>
      <c r="D139" t="s">
        <v>612</v>
      </c>
      <c r="E139" t="str">
        <f t="shared" si="6"/>
        <v>AGE1137</v>
      </c>
      <c r="F139" t="s">
        <v>1145</v>
      </c>
    </row>
    <row r="140" spans="1:6">
      <c r="A140">
        <f t="shared" si="8"/>
        <v>12201</v>
      </c>
      <c r="B140" t="s">
        <v>1146</v>
      </c>
      <c r="C140">
        <f t="shared" si="7"/>
        <v>1138</v>
      </c>
      <c r="D140" t="s">
        <v>859</v>
      </c>
      <c r="E140" t="str">
        <f t="shared" si="6"/>
        <v>BEE1138</v>
      </c>
      <c r="F140" t="s">
        <v>1146</v>
      </c>
    </row>
    <row r="141" spans="1:6">
      <c r="A141">
        <f t="shared" si="8"/>
        <v>12290</v>
      </c>
      <c r="B141" t="s">
        <v>1147</v>
      </c>
      <c r="C141">
        <f t="shared" si="7"/>
        <v>1139</v>
      </c>
      <c r="D141" t="s">
        <v>603</v>
      </c>
      <c r="E141" t="str">
        <f t="shared" si="6"/>
        <v>SHY1139</v>
      </c>
      <c r="F141" t="s">
        <v>1147</v>
      </c>
    </row>
    <row r="142" spans="1:6">
      <c r="A142">
        <f t="shared" si="8"/>
        <v>12379</v>
      </c>
      <c r="B142" t="s">
        <v>1148</v>
      </c>
      <c r="C142">
        <f t="shared" si="7"/>
        <v>1140</v>
      </c>
      <c r="D142" t="s">
        <v>574</v>
      </c>
      <c r="E142" t="str">
        <f t="shared" si="6"/>
        <v>AIR1140</v>
      </c>
      <c r="F142" t="s">
        <v>1148</v>
      </c>
    </row>
    <row r="143" spans="1:6">
      <c r="A143">
        <f t="shared" si="8"/>
        <v>12468</v>
      </c>
      <c r="B143" t="s">
        <v>1149</v>
      </c>
      <c r="C143">
        <f t="shared" si="7"/>
        <v>1141</v>
      </c>
      <c r="D143" t="s">
        <v>582</v>
      </c>
      <c r="E143" t="str">
        <f t="shared" si="6"/>
        <v>SEA1141</v>
      </c>
      <c r="F143" t="s">
        <v>1149</v>
      </c>
    </row>
    <row r="144" spans="1:6">
      <c r="A144">
        <f t="shared" si="8"/>
        <v>12557</v>
      </c>
      <c r="B144" t="s">
        <v>1150</v>
      </c>
      <c r="C144">
        <f t="shared" si="7"/>
        <v>1142</v>
      </c>
      <c r="D144" t="s">
        <v>861</v>
      </c>
      <c r="E144" t="str">
        <f t="shared" si="6"/>
        <v>BUY1142</v>
      </c>
      <c r="F144" t="s">
        <v>1150</v>
      </c>
    </row>
    <row r="145" spans="1:6">
      <c r="A145">
        <f t="shared" si="8"/>
        <v>12646</v>
      </c>
      <c r="B145" t="s">
        <v>1151</v>
      </c>
      <c r="C145">
        <f t="shared" si="7"/>
        <v>1143</v>
      </c>
      <c r="D145" t="s">
        <v>1002</v>
      </c>
      <c r="E145" t="str">
        <f t="shared" si="6"/>
        <v>TIE1143</v>
      </c>
      <c r="F145" t="s">
        <v>1151</v>
      </c>
    </row>
    <row r="146" spans="1:6">
      <c r="A146">
        <f t="shared" si="8"/>
        <v>12735</v>
      </c>
      <c r="B146" t="s">
        <v>1152</v>
      </c>
      <c r="C146">
        <f t="shared" si="7"/>
        <v>1144</v>
      </c>
      <c r="D146" t="s">
        <v>862</v>
      </c>
      <c r="E146" t="str">
        <f t="shared" si="6"/>
        <v>BAR1144</v>
      </c>
      <c r="F146" t="s">
        <v>1152</v>
      </c>
    </row>
    <row r="147" spans="1:6">
      <c r="A147">
        <f t="shared" si="8"/>
        <v>12824</v>
      </c>
      <c r="B147" t="s">
        <v>1153</v>
      </c>
      <c r="C147">
        <f t="shared" si="7"/>
        <v>1145</v>
      </c>
      <c r="D147" t="s">
        <v>886</v>
      </c>
      <c r="E147" t="str">
        <f t="shared" si="6"/>
        <v>NET1145</v>
      </c>
      <c r="F147" t="s">
        <v>1153</v>
      </c>
    </row>
    <row r="148" spans="1:6">
      <c r="A148">
        <f t="shared" si="8"/>
        <v>12913</v>
      </c>
      <c r="B148" t="s">
        <v>1154</v>
      </c>
      <c r="C148">
        <f t="shared" si="7"/>
        <v>1146</v>
      </c>
      <c r="D148" t="s">
        <v>1003</v>
      </c>
      <c r="E148" t="str">
        <f t="shared" si="6"/>
        <v>SIN1146</v>
      </c>
      <c r="F148" t="s">
        <v>1154</v>
      </c>
    </row>
    <row r="149" spans="1:6">
      <c r="A149">
        <f t="shared" si="8"/>
        <v>13002</v>
      </c>
      <c r="B149" t="s">
        <v>1155</v>
      </c>
      <c r="C149">
        <f t="shared" si="7"/>
        <v>1147</v>
      </c>
      <c r="D149" t="s">
        <v>1004</v>
      </c>
      <c r="E149" t="str">
        <f t="shared" si="6"/>
        <v>BAD1147</v>
      </c>
      <c r="F149" t="s">
        <v>1155</v>
      </c>
    </row>
    <row r="150" spans="1:6">
      <c r="A150">
        <f t="shared" si="8"/>
        <v>13091</v>
      </c>
      <c r="B150" t="s">
        <v>1156</v>
      </c>
      <c r="C150">
        <f t="shared" si="7"/>
        <v>1148</v>
      </c>
      <c r="D150" t="s">
        <v>608</v>
      </c>
      <c r="E150" t="str">
        <f t="shared" si="6"/>
        <v>LID1148</v>
      </c>
      <c r="F150" t="s">
        <v>1156</v>
      </c>
    </row>
    <row r="151" spans="1:6">
      <c r="A151">
        <f t="shared" si="8"/>
        <v>13180</v>
      </c>
      <c r="B151" t="s">
        <v>1157</v>
      </c>
      <c r="C151">
        <f t="shared" si="7"/>
        <v>1149</v>
      </c>
      <c r="D151" t="s">
        <v>629</v>
      </c>
      <c r="E151" t="str">
        <f t="shared" si="6"/>
        <v>TIN1149</v>
      </c>
      <c r="F151" t="s">
        <v>1157</v>
      </c>
    </row>
    <row r="152" spans="1:6">
      <c r="A152">
        <f t="shared" si="8"/>
        <v>13269</v>
      </c>
      <c r="B152" t="s">
        <v>1158</v>
      </c>
      <c r="C152">
        <f t="shared" si="7"/>
        <v>1150</v>
      </c>
      <c r="D152" t="s">
        <v>881</v>
      </c>
      <c r="E152" t="str">
        <f t="shared" si="6"/>
        <v>POT1150</v>
      </c>
      <c r="F152" t="s">
        <v>1158</v>
      </c>
    </row>
    <row r="153" spans="1:6">
      <c r="A153">
        <f t="shared" si="8"/>
        <v>13358</v>
      </c>
      <c r="B153" t="s">
        <v>1159</v>
      </c>
      <c r="C153">
        <f t="shared" si="7"/>
        <v>1151</v>
      </c>
      <c r="D153" t="s">
        <v>579</v>
      </c>
      <c r="E153" t="str">
        <f t="shared" si="6"/>
        <v>LEG1151</v>
      </c>
      <c r="F153" t="s">
        <v>1159</v>
      </c>
    </row>
    <row r="154" spans="1:6">
      <c r="A154">
        <f t="shared" si="8"/>
        <v>13447</v>
      </c>
      <c r="B154" t="s">
        <v>1160</v>
      </c>
      <c r="C154">
        <f t="shared" si="7"/>
        <v>1152</v>
      </c>
      <c r="D154" t="s">
        <v>640</v>
      </c>
      <c r="E154" t="str">
        <f t="shared" si="6"/>
        <v>SEE1152</v>
      </c>
      <c r="F154" t="s">
        <v>1160</v>
      </c>
    </row>
    <row r="155" spans="1:6">
      <c r="A155">
        <f t="shared" si="8"/>
        <v>13536</v>
      </c>
      <c r="B155" t="s">
        <v>1161</v>
      </c>
      <c r="C155">
        <f t="shared" si="7"/>
        <v>1153</v>
      </c>
      <c r="D155" t="s">
        <v>589</v>
      </c>
      <c r="E155" t="str">
        <f t="shared" si="6"/>
        <v>PIG1153</v>
      </c>
      <c r="F155" t="s">
        <v>1161</v>
      </c>
    </row>
    <row r="156" spans="1:6">
      <c r="A156">
        <f t="shared" si="8"/>
        <v>13625</v>
      </c>
      <c r="B156" t="s">
        <v>1162</v>
      </c>
      <c r="C156">
        <f t="shared" si="7"/>
        <v>1154</v>
      </c>
      <c r="D156" t="s">
        <v>867</v>
      </c>
      <c r="E156" t="str">
        <f t="shared" si="6"/>
        <v>FAR1154</v>
      </c>
      <c r="F156" t="s">
        <v>1162</v>
      </c>
    </row>
    <row r="157" spans="1:6">
      <c r="A157">
        <f t="shared" si="8"/>
        <v>13714</v>
      </c>
      <c r="B157" t="s">
        <v>1163</v>
      </c>
      <c r="C157">
        <f t="shared" si="7"/>
        <v>1155</v>
      </c>
      <c r="D157" t="s">
        <v>638</v>
      </c>
      <c r="E157" t="str">
        <f t="shared" si="6"/>
        <v>OWE1155</v>
      </c>
      <c r="F157" t="s">
        <v>1163</v>
      </c>
    </row>
    <row r="158" spans="1:6">
      <c r="A158">
        <f t="shared" si="8"/>
        <v>13803</v>
      </c>
      <c r="B158" t="s">
        <v>1164</v>
      </c>
      <c r="C158">
        <f t="shared" si="7"/>
        <v>1156</v>
      </c>
      <c r="D158" t="s">
        <v>602</v>
      </c>
      <c r="E158" t="str">
        <f t="shared" si="6"/>
        <v>JOY1156</v>
      </c>
      <c r="F158" t="s">
        <v>1164</v>
      </c>
    </row>
    <row r="159" spans="1:6">
      <c r="A159">
        <f t="shared" si="8"/>
        <v>13892</v>
      </c>
      <c r="B159" t="s">
        <v>1165</v>
      </c>
      <c r="C159">
        <f t="shared" si="7"/>
        <v>1157</v>
      </c>
      <c r="D159" t="s">
        <v>852</v>
      </c>
      <c r="E159" t="str">
        <f t="shared" si="6"/>
        <v>FIT1157</v>
      </c>
      <c r="F159" t="s">
        <v>1165</v>
      </c>
    </row>
    <row r="160" spans="1:6">
      <c r="A160">
        <f t="shared" si="8"/>
        <v>13981</v>
      </c>
      <c r="B160" t="s">
        <v>1166</v>
      </c>
      <c r="C160">
        <f t="shared" si="7"/>
        <v>1158</v>
      </c>
      <c r="D160" t="s">
        <v>885</v>
      </c>
      <c r="E160" t="str">
        <f t="shared" si="6"/>
        <v>BOY1158</v>
      </c>
      <c r="F160" t="s">
        <v>1166</v>
      </c>
    </row>
    <row r="161" spans="1:6">
      <c r="A161">
        <f t="shared" si="8"/>
        <v>14070</v>
      </c>
      <c r="B161" t="s">
        <v>1167</v>
      </c>
      <c r="C161">
        <f t="shared" si="7"/>
        <v>1159</v>
      </c>
      <c r="D161" t="s">
        <v>871</v>
      </c>
      <c r="E161" t="str">
        <f t="shared" si="6"/>
        <v>LOG1159</v>
      </c>
      <c r="F161" t="s">
        <v>1167</v>
      </c>
    </row>
    <row r="162" spans="1:6">
      <c r="A162">
        <f t="shared" si="8"/>
        <v>14159</v>
      </c>
      <c r="B162" t="s">
        <v>1168</v>
      </c>
      <c r="C162">
        <f t="shared" si="7"/>
        <v>1160</v>
      </c>
      <c r="D162" t="s">
        <v>997</v>
      </c>
      <c r="E162" t="str">
        <f t="shared" si="6"/>
        <v>SUN1160</v>
      </c>
      <c r="F162" t="s">
        <v>1168</v>
      </c>
    </row>
    <row r="163" spans="1:6">
      <c r="A163">
        <f t="shared" si="8"/>
        <v>14248</v>
      </c>
      <c r="B163" t="s">
        <v>1169</v>
      </c>
      <c r="C163">
        <f t="shared" si="7"/>
        <v>1161</v>
      </c>
      <c r="D163" t="s">
        <v>848</v>
      </c>
      <c r="E163" t="str">
        <f t="shared" si="6"/>
        <v>RIB1161</v>
      </c>
      <c r="F163" t="s">
        <v>1169</v>
      </c>
    </row>
    <row r="164" spans="1:6">
      <c r="A164">
        <f t="shared" si="8"/>
        <v>14337</v>
      </c>
      <c r="B164" t="s">
        <v>1170</v>
      </c>
      <c r="C164">
        <f t="shared" si="7"/>
        <v>1162</v>
      </c>
      <c r="D164" t="s">
        <v>597</v>
      </c>
      <c r="E164" t="str">
        <f t="shared" si="6"/>
        <v>GAP1162</v>
      </c>
      <c r="F164" t="s">
        <v>1170</v>
      </c>
    </row>
    <row r="165" spans="1:6">
      <c r="A165">
        <f t="shared" si="8"/>
        <v>14426</v>
      </c>
      <c r="B165" t="s">
        <v>1171</v>
      </c>
      <c r="C165">
        <f t="shared" si="7"/>
        <v>1163</v>
      </c>
      <c r="D165" t="s">
        <v>586</v>
      </c>
      <c r="E165" t="str">
        <f t="shared" si="6"/>
        <v>NEW1163</v>
      </c>
      <c r="F165" t="s">
        <v>1171</v>
      </c>
    </row>
    <row r="166" spans="1:6">
      <c r="A166">
        <f t="shared" si="8"/>
        <v>14515</v>
      </c>
      <c r="B166" t="s">
        <v>1172</v>
      </c>
      <c r="C166">
        <f t="shared" si="7"/>
        <v>1164</v>
      </c>
      <c r="D166" t="s">
        <v>872</v>
      </c>
      <c r="E166" t="str">
        <f t="shared" si="6"/>
        <v>LOW1164</v>
      </c>
      <c r="F166" t="s">
        <v>1172</v>
      </c>
    </row>
    <row r="167" spans="1:6">
      <c r="A167">
        <f t="shared" si="8"/>
        <v>14604</v>
      </c>
      <c r="B167" t="s">
        <v>1173</v>
      </c>
      <c r="C167">
        <f t="shared" si="7"/>
        <v>1165</v>
      </c>
      <c r="D167" t="s">
        <v>884</v>
      </c>
      <c r="E167" t="str">
        <f t="shared" si="6"/>
        <v>POP1165</v>
      </c>
      <c r="F167" t="s">
        <v>1173</v>
      </c>
    </row>
    <row r="168" spans="1:6">
      <c r="A168">
        <f t="shared" si="8"/>
        <v>14693</v>
      </c>
      <c r="B168" t="s">
        <v>1174</v>
      </c>
      <c r="C168">
        <f t="shared" si="7"/>
        <v>1166</v>
      </c>
      <c r="D168" t="s">
        <v>877</v>
      </c>
      <c r="E168" t="str">
        <f t="shared" si="6"/>
        <v>MUG1166</v>
      </c>
      <c r="F168" t="s">
        <v>1174</v>
      </c>
    </row>
    <row r="169" spans="1:6">
      <c r="A169">
        <f t="shared" si="8"/>
        <v>14782</v>
      </c>
      <c r="B169" t="s">
        <v>1175</v>
      </c>
      <c r="C169">
        <f t="shared" si="7"/>
        <v>1167</v>
      </c>
      <c r="D169" t="s">
        <v>999</v>
      </c>
      <c r="E169" t="str">
        <f t="shared" si="6"/>
        <v>FOG1167</v>
      </c>
      <c r="F169" t="s">
        <v>1175</v>
      </c>
    </row>
    <row r="170" spans="1:6">
      <c r="A170">
        <f t="shared" si="8"/>
        <v>14871</v>
      </c>
      <c r="B170" t="s">
        <v>1176</v>
      </c>
      <c r="C170">
        <f t="shared" si="7"/>
        <v>1168</v>
      </c>
      <c r="D170" t="s">
        <v>1005</v>
      </c>
      <c r="E170" t="str">
        <f t="shared" si="6"/>
        <v>BUS1168</v>
      </c>
      <c r="F170" t="s">
        <v>1176</v>
      </c>
    </row>
    <row r="171" spans="1:6">
      <c r="A171">
        <f t="shared" si="8"/>
        <v>14960</v>
      </c>
      <c r="B171" t="s">
        <v>1177</v>
      </c>
      <c r="C171">
        <f t="shared" si="7"/>
        <v>1169</v>
      </c>
      <c r="D171" t="s">
        <v>636</v>
      </c>
      <c r="E171" t="str">
        <f t="shared" si="6"/>
        <v>MAP1169</v>
      </c>
      <c r="F171" t="s">
        <v>1177</v>
      </c>
    </row>
    <row r="172" spans="1:6">
      <c r="A172">
        <f t="shared" si="8"/>
        <v>15049</v>
      </c>
      <c r="B172" t="s">
        <v>1178</v>
      </c>
      <c r="C172">
        <f t="shared" si="7"/>
        <v>1170</v>
      </c>
      <c r="D172" t="s">
        <v>612</v>
      </c>
      <c r="E172" t="str">
        <f t="shared" si="6"/>
        <v>AGE1170</v>
      </c>
      <c r="F172" t="s">
        <v>1178</v>
      </c>
    </row>
    <row r="173" spans="1:6">
      <c r="A173">
        <f t="shared" si="8"/>
        <v>15138</v>
      </c>
      <c r="B173" t="s">
        <v>1179</v>
      </c>
      <c r="C173">
        <f t="shared" si="7"/>
        <v>1171</v>
      </c>
      <c r="D173" t="s">
        <v>616</v>
      </c>
      <c r="E173" t="str">
        <f t="shared" si="6"/>
        <v>PIT1171</v>
      </c>
      <c r="F173" t="s">
        <v>1179</v>
      </c>
    </row>
    <row r="174" spans="1:6">
      <c r="A174">
        <f t="shared" si="8"/>
        <v>15227</v>
      </c>
      <c r="B174" t="s">
        <v>1180</v>
      </c>
      <c r="C174">
        <f t="shared" si="7"/>
        <v>1172</v>
      </c>
      <c r="D174" t="s">
        <v>990</v>
      </c>
      <c r="E174" t="str">
        <f t="shared" si="6"/>
        <v>MUD1172</v>
      </c>
      <c r="F174" t="s">
        <v>1180</v>
      </c>
    </row>
    <row r="175" spans="1:6">
      <c r="A175">
        <f t="shared" si="8"/>
        <v>15316</v>
      </c>
      <c r="B175" t="s">
        <v>1181</v>
      </c>
      <c r="C175">
        <f t="shared" si="7"/>
        <v>1173</v>
      </c>
      <c r="D175" t="s">
        <v>1000</v>
      </c>
      <c r="E175" t="str">
        <f t="shared" si="6"/>
        <v>LIP1173</v>
      </c>
      <c r="F175" t="s">
        <v>1181</v>
      </c>
    </row>
    <row r="176" spans="1:6">
      <c r="A176">
        <f t="shared" si="8"/>
        <v>15405</v>
      </c>
      <c r="B176" t="s">
        <v>1182</v>
      </c>
      <c r="C176">
        <f t="shared" si="7"/>
        <v>1174</v>
      </c>
      <c r="D176" t="s">
        <v>847</v>
      </c>
      <c r="E176" t="str">
        <f t="shared" si="6"/>
        <v>LIE1174</v>
      </c>
      <c r="F176" t="s">
        <v>1182</v>
      </c>
    </row>
    <row r="177" spans="1:6">
      <c r="A177">
        <f t="shared" si="8"/>
        <v>15494</v>
      </c>
      <c r="B177" t="s">
        <v>1183</v>
      </c>
      <c r="C177">
        <f t="shared" si="7"/>
        <v>1175</v>
      </c>
      <c r="D177" t="s">
        <v>851</v>
      </c>
      <c r="E177" t="str">
        <f t="shared" si="6"/>
        <v>CAR1175</v>
      </c>
      <c r="F177" t="s">
        <v>1183</v>
      </c>
    </row>
    <row r="178" spans="1:6">
      <c r="A178">
        <f t="shared" si="8"/>
        <v>15583</v>
      </c>
      <c r="B178" t="s">
        <v>1184</v>
      </c>
      <c r="C178">
        <f t="shared" si="7"/>
        <v>1176</v>
      </c>
      <c r="D178" t="s">
        <v>598</v>
      </c>
      <c r="E178" t="str">
        <f t="shared" si="6"/>
        <v>ART1176</v>
      </c>
      <c r="F178" t="s">
        <v>1184</v>
      </c>
    </row>
    <row r="179" spans="1:6">
      <c r="A179">
        <f t="shared" si="8"/>
        <v>15672</v>
      </c>
      <c r="B179" t="s">
        <v>1185</v>
      </c>
      <c r="C179">
        <f t="shared" si="7"/>
        <v>1177</v>
      </c>
      <c r="D179" t="s">
        <v>1006</v>
      </c>
      <c r="E179" t="str">
        <f t="shared" si="6"/>
        <v>BED1177</v>
      </c>
      <c r="F179" t="s">
        <v>1185</v>
      </c>
    </row>
    <row r="180" spans="1:6">
      <c r="A180">
        <f t="shared" si="8"/>
        <v>15761</v>
      </c>
      <c r="B180" t="s">
        <v>1186</v>
      </c>
      <c r="C180">
        <f t="shared" si="7"/>
        <v>1178</v>
      </c>
      <c r="D180" t="s">
        <v>883</v>
      </c>
      <c r="E180" t="str">
        <f t="shared" si="6"/>
        <v>PEN1178</v>
      </c>
      <c r="F180" t="s">
        <v>1186</v>
      </c>
    </row>
    <row r="181" spans="1:6">
      <c r="A181">
        <f t="shared" si="8"/>
        <v>15850</v>
      </c>
      <c r="B181" t="s">
        <v>1187</v>
      </c>
      <c r="C181">
        <f t="shared" si="7"/>
        <v>1179</v>
      </c>
      <c r="D181" t="s">
        <v>989</v>
      </c>
      <c r="E181" t="str">
        <f t="shared" si="6"/>
        <v>EGG1179</v>
      </c>
      <c r="F181" t="s">
        <v>1187</v>
      </c>
    </row>
    <row r="182" spans="1:6">
      <c r="A182">
        <f t="shared" si="8"/>
        <v>15939</v>
      </c>
      <c r="B182" t="s">
        <v>1188</v>
      </c>
      <c r="C182">
        <f t="shared" si="7"/>
        <v>1180</v>
      </c>
      <c r="D182" t="s">
        <v>644</v>
      </c>
      <c r="E182" t="str">
        <f t="shared" si="6"/>
        <v>TOP1180</v>
      </c>
      <c r="F182" t="s">
        <v>1188</v>
      </c>
    </row>
    <row r="183" spans="1:6">
      <c r="A183">
        <f t="shared" si="8"/>
        <v>16028</v>
      </c>
      <c r="B183" t="s">
        <v>1189</v>
      </c>
      <c r="C183">
        <f t="shared" si="7"/>
        <v>1181</v>
      </c>
      <c r="D183" t="s">
        <v>594</v>
      </c>
      <c r="E183" t="str">
        <f t="shared" si="6"/>
        <v>END1181</v>
      </c>
      <c r="F183" t="s">
        <v>1189</v>
      </c>
    </row>
    <row r="184" spans="1:6">
      <c r="A184">
        <f t="shared" si="8"/>
        <v>16117</v>
      </c>
      <c r="B184" t="s">
        <v>1190</v>
      </c>
      <c r="C184">
        <f t="shared" si="7"/>
        <v>1182</v>
      </c>
      <c r="D184" t="s">
        <v>862</v>
      </c>
      <c r="E184" t="str">
        <f t="shared" si="6"/>
        <v>BAR1182</v>
      </c>
      <c r="F184" t="s">
        <v>1190</v>
      </c>
    </row>
    <row r="185" spans="1:6">
      <c r="A185">
        <f t="shared" si="8"/>
        <v>16206</v>
      </c>
      <c r="B185" t="s">
        <v>1191</v>
      </c>
      <c r="C185">
        <f t="shared" si="7"/>
        <v>1183</v>
      </c>
      <c r="D185" t="s">
        <v>869</v>
      </c>
      <c r="E185" t="str">
        <f t="shared" si="6"/>
        <v>EGO1183</v>
      </c>
      <c r="F185" t="s">
        <v>1191</v>
      </c>
    </row>
    <row r="186" spans="1:6">
      <c r="A186">
        <f t="shared" si="8"/>
        <v>16295</v>
      </c>
      <c r="B186" t="s">
        <v>1192</v>
      </c>
      <c r="C186">
        <f t="shared" si="7"/>
        <v>1184</v>
      </c>
      <c r="D186" t="s">
        <v>873</v>
      </c>
      <c r="E186" t="str">
        <f t="shared" si="6"/>
        <v>CAN1184</v>
      </c>
      <c r="F186" t="s">
        <v>1192</v>
      </c>
    </row>
    <row r="187" spans="1:6">
      <c r="A187">
        <f t="shared" si="8"/>
        <v>16384</v>
      </c>
      <c r="B187" t="s">
        <v>1193</v>
      </c>
      <c r="C187">
        <f t="shared" si="7"/>
        <v>1185</v>
      </c>
      <c r="D187" t="s">
        <v>855</v>
      </c>
      <c r="E187" t="str">
        <f t="shared" si="6"/>
        <v>BAT1185</v>
      </c>
      <c r="F187" t="s">
        <v>1193</v>
      </c>
    </row>
    <row r="188" spans="1:6">
      <c r="A188">
        <f t="shared" si="8"/>
        <v>16473</v>
      </c>
      <c r="B188" t="s">
        <v>1194</v>
      </c>
      <c r="C188">
        <f t="shared" si="7"/>
        <v>1186</v>
      </c>
      <c r="D188" t="s">
        <v>584</v>
      </c>
      <c r="E188" t="str">
        <f t="shared" si="6"/>
        <v>GET1186</v>
      </c>
      <c r="F188" t="s">
        <v>1194</v>
      </c>
    </row>
    <row r="189" spans="1:6">
      <c r="A189">
        <f t="shared" si="8"/>
        <v>16562</v>
      </c>
      <c r="B189" t="s">
        <v>1195</v>
      </c>
      <c r="C189">
        <f t="shared" si="7"/>
        <v>1187</v>
      </c>
      <c r="D189" t="s">
        <v>861</v>
      </c>
      <c r="E189" t="str">
        <f t="shared" si="6"/>
        <v>BUY1187</v>
      </c>
      <c r="F189" t="s">
        <v>1195</v>
      </c>
    </row>
    <row r="190" spans="1:6">
      <c r="A190">
        <f t="shared" si="8"/>
        <v>16651</v>
      </c>
      <c r="B190" t="s">
        <v>1196</v>
      </c>
      <c r="C190">
        <f t="shared" si="7"/>
        <v>1188</v>
      </c>
      <c r="D190" t="s">
        <v>619</v>
      </c>
      <c r="E190" t="str">
        <f t="shared" si="6"/>
        <v>ASK1188</v>
      </c>
      <c r="F190" t="s">
        <v>1196</v>
      </c>
    </row>
    <row r="191" spans="1:6">
      <c r="A191">
        <f t="shared" si="8"/>
        <v>16740</v>
      </c>
      <c r="B191" t="s">
        <v>1197</v>
      </c>
      <c r="C191">
        <f t="shared" si="7"/>
        <v>1189</v>
      </c>
      <c r="D191" t="s">
        <v>611</v>
      </c>
      <c r="E191" t="str">
        <f t="shared" si="6"/>
        <v>ADD1189</v>
      </c>
      <c r="F191" t="s">
        <v>1197</v>
      </c>
    </row>
    <row r="192" spans="1:6">
      <c r="A192">
        <f t="shared" si="8"/>
        <v>16829</v>
      </c>
      <c r="B192" t="s">
        <v>1198</v>
      </c>
      <c r="C192">
        <f t="shared" si="7"/>
        <v>1190</v>
      </c>
      <c r="D192" t="s">
        <v>599</v>
      </c>
      <c r="E192" t="str">
        <f t="shared" si="6"/>
        <v>JOB1190</v>
      </c>
      <c r="F192" t="s">
        <v>1198</v>
      </c>
    </row>
    <row r="193" spans="1:6">
      <c r="A193">
        <f t="shared" si="8"/>
        <v>16918</v>
      </c>
      <c r="B193" t="s">
        <v>1199</v>
      </c>
      <c r="C193">
        <f t="shared" si="7"/>
        <v>1191</v>
      </c>
      <c r="D193" t="s">
        <v>850</v>
      </c>
      <c r="E193" t="str">
        <f t="shared" si="6"/>
        <v>BET1191</v>
      </c>
      <c r="F193" t="s">
        <v>1199</v>
      </c>
    </row>
    <row r="194" spans="1:6">
      <c r="A194">
        <f t="shared" si="8"/>
        <v>17007</v>
      </c>
      <c r="B194" t="s">
        <v>1200</v>
      </c>
      <c r="C194">
        <f t="shared" si="7"/>
        <v>1192</v>
      </c>
      <c r="D194" t="s">
        <v>874</v>
      </c>
      <c r="E194" t="str">
        <f t="shared" si="6"/>
        <v>OAK1192</v>
      </c>
      <c r="F194" t="s">
        <v>1200</v>
      </c>
    </row>
    <row r="195" spans="1:6">
      <c r="A195">
        <f t="shared" si="8"/>
        <v>17096</v>
      </c>
      <c r="B195" t="s">
        <v>1201</v>
      </c>
      <c r="C195">
        <f t="shared" si="7"/>
        <v>1193</v>
      </c>
      <c r="D195" t="s">
        <v>595</v>
      </c>
      <c r="E195" t="str">
        <f t="shared" ref="E195:E201" si="9">CONCATENATE(UPPER(D195),C195)</f>
        <v>SPY1193</v>
      </c>
      <c r="F195" t="s">
        <v>1201</v>
      </c>
    </row>
    <row r="196" spans="1:6">
      <c r="A196">
        <f t="shared" si="8"/>
        <v>17185</v>
      </c>
      <c r="B196" t="s">
        <v>1202</v>
      </c>
      <c r="C196">
        <f t="shared" ref="C196:C201" si="10">C195+1</f>
        <v>1194</v>
      </c>
      <c r="D196" t="s">
        <v>607</v>
      </c>
      <c r="E196" t="str">
        <f t="shared" si="9"/>
        <v>DUE1194</v>
      </c>
      <c r="F196" t="s">
        <v>1202</v>
      </c>
    </row>
    <row r="197" spans="1:6">
      <c r="A197">
        <f t="shared" ref="A197:A201" si="11">A196+89</f>
        <v>17274</v>
      </c>
      <c r="B197" t="s">
        <v>1203</v>
      </c>
      <c r="C197">
        <f t="shared" si="10"/>
        <v>1195</v>
      </c>
      <c r="D197" t="s">
        <v>880</v>
      </c>
      <c r="E197" t="str">
        <f t="shared" si="9"/>
        <v>CAT1195</v>
      </c>
      <c r="F197" t="s">
        <v>1203</v>
      </c>
    </row>
    <row r="198" spans="1:6">
      <c r="A198">
        <f t="shared" si="11"/>
        <v>17363</v>
      </c>
      <c r="B198" t="s">
        <v>1204</v>
      </c>
      <c r="C198">
        <f t="shared" si="10"/>
        <v>1196</v>
      </c>
      <c r="D198" t="s">
        <v>635</v>
      </c>
      <c r="E198" t="str">
        <f t="shared" si="9"/>
        <v>FEE1196</v>
      </c>
      <c r="F198" t="s">
        <v>1204</v>
      </c>
    </row>
    <row r="199" spans="1:6">
      <c r="A199">
        <f t="shared" si="11"/>
        <v>17452</v>
      </c>
      <c r="B199" t="s">
        <v>1205</v>
      </c>
      <c r="C199">
        <f t="shared" si="10"/>
        <v>1197</v>
      </c>
      <c r="D199" t="s">
        <v>617</v>
      </c>
      <c r="E199" t="str">
        <f t="shared" si="9"/>
        <v>FEW1197</v>
      </c>
      <c r="F199" t="s">
        <v>1205</v>
      </c>
    </row>
    <row r="200" spans="1:6">
      <c r="A200">
        <f t="shared" si="11"/>
        <v>17541</v>
      </c>
      <c r="B200" t="s">
        <v>1206</v>
      </c>
      <c r="C200">
        <f t="shared" si="10"/>
        <v>1198</v>
      </c>
      <c r="D200" t="s">
        <v>1007</v>
      </c>
      <c r="E200" t="str">
        <f t="shared" si="9"/>
        <v>CAP1198</v>
      </c>
      <c r="F200" t="s">
        <v>1206</v>
      </c>
    </row>
    <row r="201" spans="1:6">
      <c r="A201">
        <f t="shared" si="11"/>
        <v>17630</v>
      </c>
      <c r="B201" t="s">
        <v>1207</v>
      </c>
      <c r="C201">
        <f t="shared" si="10"/>
        <v>1199</v>
      </c>
      <c r="D201" t="s">
        <v>582</v>
      </c>
      <c r="E201" t="str">
        <f t="shared" si="9"/>
        <v>SEA1199</v>
      </c>
      <c r="F201" t="s">
        <v>1207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C12"/>
  <sheetViews>
    <sheetView workbookViewId="0">
      <selection activeCell="A2" sqref="A2"/>
    </sheetView>
  </sheetViews>
  <sheetFormatPr baseColWidth="10"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5" t="s">
        <v>1209</v>
      </c>
      <c r="B1" s="16" t="s">
        <v>988</v>
      </c>
      <c r="C1" s="16" t="s">
        <v>107</v>
      </c>
    </row>
    <row r="2" spans="1:3">
      <c r="A2">
        <v>1</v>
      </c>
      <c r="B2">
        <v>1</v>
      </c>
      <c r="C2" t="s">
        <v>39</v>
      </c>
    </row>
    <row r="3" spans="1:3">
      <c r="A3">
        <v>2</v>
      </c>
      <c r="B3">
        <v>2</v>
      </c>
      <c r="C3" t="s">
        <v>41</v>
      </c>
    </row>
    <row r="4" spans="1:3">
      <c r="A4">
        <v>3</v>
      </c>
      <c r="B4">
        <v>3</v>
      </c>
      <c r="C4" t="s">
        <v>39</v>
      </c>
    </row>
    <row r="5" spans="1:3">
      <c r="A5">
        <v>1</v>
      </c>
      <c r="B5">
        <v>4</v>
      </c>
      <c r="C5" t="s">
        <v>45</v>
      </c>
    </row>
    <row r="6" spans="1:3">
      <c r="A6">
        <v>5</v>
      </c>
      <c r="B6">
        <v>5</v>
      </c>
      <c r="C6" t="s">
        <v>45</v>
      </c>
    </row>
    <row r="7" spans="1:3">
      <c r="A7">
        <v>6</v>
      </c>
      <c r="B7">
        <v>6</v>
      </c>
      <c r="C7" t="s">
        <v>39</v>
      </c>
    </row>
    <row r="8" spans="1:3">
      <c r="A8">
        <v>7</v>
      </c>
      <c r="B8">
        <v>2</v>
      </c>
      <c r="C8" t="s">
        <v>41</v>
      </c>
    </row>
    <row r="9" spans="1:3">
      <c r="A9">
        <v>8</v>
      </c>
      <c r="B9">
        <v>4</v>
      </c>
      <c r="C9" t="s">
        <v>45</v>
      </c>
    </row>
    <row r="10" spans="1:3">
      <c r="A10">
        <v>9</v>
      </c>
      <c r="B10">
        <v>6</v>
      </c>
      <c r="C10" t="s">
        <v>39</v>
      </c>
    </row>
    <row r="11" spans="1:3">
      <c r="A11">
        <v>1</v>
      </c>
      <c r="B11">
        <v>1</v>
      </c>
      <c r="C11" t="s">
        <v>39</v>
      </c>
    </row>
    <row r="12" spans="1:3">
      <c r="A12">
        <v>10</v>
      </c>
      <c r="B12">
        <v>2</v>
      </c>
      <c r="C1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lucia</cp:lastModifiedBy>
  <dcterms:created xsi:type="dcterms:W3CDTF">2019-12-18T14:13:44Z</dcterms:created>
  <dcterms:modified xsi:type="dcterms:W3CDTF">2020-01-08T09:33:31Z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a406d5a2-3165-425a-a32a-83dec053604b</vt:lpwstr>
  </property>
  <property fmtid="{D5CDD505-2E9C-101B-9397-08002B2CF9AE}" pid="3" name="ConnectionInfosStorage">
    <vt:lpwstr>WorkbookXmlParts</vt:lpwstr>
  </property>
</Properties>
</file>